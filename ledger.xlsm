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leiades\2022-06\workspace\upload\"/>
    </mc:Choice>
  </mc:AlternateContent>
  <xr:revisionPtr revIDLastSave="0" documentId="13_ncr:1_{52045F1A-1649-472C-842C-96EA41F0FF5A}" xr6:coauthVersionLast="47" xr6:coauthVersionMax="47" xr10:uidLastSave="{00000000-0000-0000-0000-000000000000}"/>
  <bookViews>
    <workbookView xWindow="9000" yWindow="2805" windowWidth="18585" windowHeight="11160" tabRatio="776" xr2:uid="{5F1D7E0A-B170-4A30-BDA1-57B506CDB917}"/>
  </bookViews>
  <sheets>
    <sheet name="S10_検索画面" sheetId="73" r:id="rId1"/>
    <sheet name="S20_設定" sheetId="2" r:id="rId2"/>
    <sheet name="S21_マスタ" sheetId="92" r:id="rId3"/>
    <sheet name="S30_元データ" sheetId="160" r:id="rId4"/>
    <sheet name="S40_結果画面" sheetId="159" r:id="rId5"/>
    <sheet name="データ1" sheetId="259" r:id="rId6"/>
  </sheets>
  <functionGroups builtInGroupCount="19"/>
  <definedNames>
    <definedName name="_xlnm._FilterDatabase" localSheetId="2" hidden="1">S21_マスタ!$A$1:$A$7</definedName>
    <definedName name="_xlnm._FilterDatabase" localSheetId="3" hidden="1">S30_元データ!$A$1:$H$139</definedName>
    <definedName name="_xlnm._FilterDatabase" localSheetId="4" hidden="1">S40_結果画面!$A$1:$H$141</definedName>
    <definedName name="DATE_FROM">S10_検索画面!$O$3</definedName>
    <definedName name="DATE_TO">S10_検索画面!$U$3</definedName>
    <definedName name="HINMEI">S10_検索画面!$O$2</definedName>
    <definedName name="KONYUSAKI">S10_検索画面!$F$2</definedName>
    <definedName name="KonyusakiMst">S21_マスタ!$A$2:$B$7</definedName>
    <definedName name="SQL検索文">S20_設定!$A$1:$A$18</definedName>
    <definedName name="SQL検索文2">S20_設定!$A$20:$A$30</definedName>
    <definedName name="SYUBETSU">S10_検索画面!$F$3</definedName>
    <definedName name="SYUBETSU2">S20_設定!$B$28</definedName>
    <definedName name="データ1">データ1!$A$2:$C$13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A16" i="2" s="1"/>
  <c r="A28" i="2"/>
  <c r="B15" i="2"/>
  <c r="A15" i="2" s="1"/>
  <c r="B14" i="2"/>
  <c r="A14" i="2" s="1"/>
  <c r="B13" i="2"/>
  <c r="A13" i="2" s="1"/>
</calcChain>
</file>

<file path=xl/sharedStrings.xml><?xml version="1.0" encoding="utf-8"?>
<sst xmlns="http://schemas.openxmlformats.org/spreadsheetml/2006/main" count="86" uniqueCount="52">
  <si>
    <t>ヤフオク</t>
  </si>
  <si>
    <t>駿河屋</t>
  </si>
  <si>
    <t>Amazon</t>
  </si>
  <si>
    <t>HGUC</t>
  </si>
  <si>
    <t>hguc 1/144 リック・ディアス クワトロ・バジーナ機 メッサーラ ガザc</t>
  </si>
  <si>
    <t>HGUC 1/144 ハイザック</t>
  </si>
  <si>
    <t>Yahoo!</t>
  </si>
  <si>
    <t>HGUC 200 機動戦士Zガンダム 百式 1/144スケール</t>
  </si>
  <si>
    <t>HGUC 機動戦士Zガンダム MSA-005 メタス 1/144スケール</t>
  </si>
  <si>
    <t>HGUC 1/144 ケンプファー</t>
  </si>
  <si>
    <t>HGUC 機動戦士Zガンダム ガブスレイ 1/144スケール</t>
  </si>
  <si>
    <t>HGUC 機動戦士Zガンダム バーザム 1/144</t>
  </si>
  <si>
    <t>HGUC 1/144 ギラ・ドーガ</t>
  </si>
  <si>
    <t>HGUC 1/144 ヅダ</t>
  </si>
  <si>
    <t>メルカリ</t>
  </si>
  <si>
    <t>STEAM</t>
  </si>
  <si>
    <t>ガンダムTR-1（アドバンスド・ヘイズル）＆ガンダムTR-6用拡張パーツ、Gパーツ（フルドド）  機動戦士Zガンダム バウンド・ドック</t>
  </si>
  <si>
    <t>プレバン ADVANCE OF Z ティターンズの旗のもとに 復刻セット</t>
  </si>
  <si>
    <t>購入先</t>
  </si>
  <si>
    <t>種別</t>
  </si>
  <si>
    <t>品名</t>
  </si>
  <si>
    <t>Code</t>
    <phoneticPr fontId="1"/>
  </si>
  <si>
    <t>001</t>
    <phoneticPr fontId="1"/>
  </si>
  <si>
    <t>002</t>
    <phoneticPr fontId="1"/>
  </si>
  <si>
    <t>003</t>
    <phoneticPr fontId="1"/>
  </si>
  <si>
    <t>004</t>
    <phoneticPr fontId="1"/>
  </si>
  <si>
    <t>005</t>
    <phoneticPr fontId="1"/>
  </si>
  <si>
    <t>006</t>
    <phoneticPr fontId="1"/>
  </si>
  <si>
    <t>select</t>
  </si>
  <si>
    <t>from</t>
  </si>
  <si>
    <t>where</t>
  </si>
  <si>
    <r>
      <t>order</t>
    </r>
    <r>
      <rPr>
        <sz val="11"/>
        <color theme="1"/>
        <rFont val="Meiryo UI"/>
        <family val="3"/>
        <charset val="128"/>
      </rPr>
      <t xml:space="preserve"> </t>
    </r>
    <r>
      <rPr>
        <sz val="11"/>
        <color rgb="FF0080FF"/>
        <rFont val="Meiryo UI"/>
        <family val="3"/>
        <charset val="128"/>
      </rPr>
      <t>by</t>
    </r>
  </si>
  <si>
    <r>
      <t xml:space="preserve">    </t>
    </r>
    <r>
      <rPr>
        <sz val="11"/>
        <color rgb="FF0080FF"/>
        <rFont val="Meiryo UI"/>
        <family val="3"/>
        <charset val="128"/>
      </rPr>
      <t>NULL</t>
    </r>
    <r>
      <rPr>
        <sz val="11"/>
        <color theme="1"/>
        <rFont val="Meiryo UI"/>
        <family val="3"/>
        <charset val="128"/>
      </rPr>
      <t xml:space="preserve"> 行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</si>
  <si>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HIZUKE 日付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</si>
  <si>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KONNYUSAKI 購入先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</si>
  <si>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SYUBETSU 種別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</si>
  <si>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HINMEI 品名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</si>
  <si>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KAKAKU 価格</t>
    </r>
  </si>
  <si>
    <t xml:space="preserve">    konyu_rireki </t>
  </si>
  <si>
    <r>
      <t xml:space="preserve">    Hizuke </t>
    </r>
    <r>
      <rPr>
        <sz val="11"/>
        <color rgb="FF0080FF"/>
        <rFont val="Meiryo UI"/>
        <family val="3"/>
        <charset val="128"/>
      </rPr>
      <t>desc</t>
    </r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</si>
  <si>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KAKAKU_KEI 合計 </t>
    </r>
    <phoneticPr fontId="1"/>
  </si>
  <si>
    <t>【HG UC 】バンダイ 1/144 ガンダムF91 ガンプラ【未組立】</t>
  </si>
  <si>
    <t xml:space="preserve">    SYUBETSU 種別</t>
  </si>
  <si>
    <t>購入先</t>
    <rPh sb="0" eb="3">
      <t>コウニュウサキ</t>
    </rPh>
    <phoneticPr fontId="1"/>
  </si>
  <si>
    <t>種別</t>
    <rPh sb="0" eb="2">
      <t>シュベツ</t>
    </rPh>
    <phoneticPr fontId="1"/>
  </si>
  <si>
    <t>日付</t>
    <rPh sb="0" eb="2">
      <t>ヒヅケ</t>
    </rPh>
    <phoneticPr fontId="1"/>
  </si>
  <si>
    <t>品名</t>
    <rPh sb="0" eb="2">
      <t>ヒンメイ</t>
    </rPh>
    <phoneticPr fontId="1"/>
  </si>
  <si>
    <t>～</t>
    <phoneticPr fontId="1"/>
  </si>
  <si>
    <r>
      <t xml:space="preserve">    rownum </t>
    </r>
    <r>
      <rPr>
        <sz val="11"/>
        <color rgb="FF808080"/>
        <rFont val="Meiryo UI"/>
        <family val="3"/>
        <charset val="128"/>
      </rPr>
      <t>&lt;=</t>
    </r>
    <r>
      <rPr>
        <sz val="11"/>
        <color theme="1"/>
        <rFont val="Meiryo UI"/>
        <family val="3"/>
        <charset val="128"/>
      </rPr>
      <t xml:space="preserve"> </t>
    </r>
    <r>
      <rPr>
        <sz val="11"/>
        <color rgb="FFFF2800"/>
        <rFont val="Meiryo UI"/>
        <family val="3"/>
        <charset val="128"/>
      </rPr>
      <t>20</t>
    </r>
    <r>
      <rPr>
        <sz val="11"/>
        <color theme="1"/>
        <rFont val="Meiryo UI"/>
        <family val="3"/>
        <charset val="128"/>
      </rPr>
      <t xml:space="preserve"> </t>
    </r>
    <phoneticPr fontId="1"/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</si>
  <si>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HINMEI 品名 </t>
    </r>
    <rPh sb="13" eb="15">
      <t>ヒンメイ</t>
    </rPh>
    <phoneticPr fontId="1"/>
  </si>
  <si>
    <r>
      <t xml:space="preserve">    </t>
    </r>
    <r>
      <rPr>
        <sz val="11"/>
        <color rgb="FF808080"/>
        <rFont val="Meiryo UI"/>
        <family val="3"/>
        <charset val="128"/>
      </rPr>
      <t>,</t>
    </r>
    <r>
      <rPr>
        <sz val="11"/>
        <color theme="1"/>
        <rFont val="Meiryo UI"/>
        <family val="3"/>
        <charset val="128"/>
      </rPr>
      <t xml:space="preserve"> SORYO 送料</t>
    </r>
    <rPh sb="12" eb="14">
      <t>ソウリョウ</t>
    </rPh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</si>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</sst>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8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00000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80FF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808080"/>
      <name val="Meiryo UI"/>
      <family val="3"/>
      <charset val="128"/>
    </font>
    <font>
      <sz val="11"/>
      <color rgb="FFFF28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179" fontId="0" fillId="0" borderId="8" xfId="0" applyNumberFormat="1" applyBorder="1" applyAlignment="1">
      <alignment horizontal="left" vertical="center"/>
    </xf>
    <xf numFmtId="179" fontId="0" fillId="0" borderId="9" xfId="0" applyNumberFormat="1" applyBorder="1" applyAlignment="1">
      <alignment horizontal="left" vertical="center"/>
    </xf>
    <xf numFmtId="179" fontId="0" fillId="0" borderId="10" xfId="0" applyNumberFormat="1" applyBorder="1" applyAlignment="1">
      <alignment horizontal="left" vertical="center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7" xfId="0" applyNumberFormat="1" applyFill="1" applyBorder="1" applyAlignment="1">
      <alignment horizontal="left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0" fillId="5" borderId="0" xfId="0" applyFill="1">
      <alignment vertical="center"/>
    </xf>
    <xf numFmtId="0" fontId="0" fillId="5" borderId="0" xfId="0" applyFill="1" applyBorder="1">
      <alignment vertical="center"/>
    </xf>
    <xf numFmtId="0" fontId="0" fillId="5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133350</xdr:rowOff>
        </xdr:from>
        <xdr:to>
          <xdr:col>4</xdr:col>
          <xdr:colOff>209550</xdr:colOff>
          <xdr:row>6</xdr:row>
          <xdr:rowOff>28575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0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4</xdr:row>
          <xdr:rowOff>133350</xdr:rowOff>
        </xdr:from>
        <xdr:to>
          <xdr:col>9</xdr:col>
          <xdr:colOff>123825</xdr:colOff>
          <xdr:row>6</xdr:row>
          <xdr:rowOff>28575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4</xdr:row>
          <xdr:rowOff>104775</xdr:rowOff>
        </xdr:from>
        <xdr:to>
          <xdr:col>15</xdr:col>
          <xdr:colOff>95250</xdr:colOff>
          <xdr:row>6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0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0F55-9FE1-4FC9-85FF-CF1164008A2D}">
  <sheetPr codeName="Sheet3"/>
  <dimension ref="B1:Y3"/>
  <sheetViews>
    <sheetView showGridLines="0" tabSelected="1" workbookViewId="0">
      <selection activeCell="A17" sqref="A17"/>
    </sheetView>
  </sheetViews>
  <sheetFormatPr defaultColWidth="2.77734375" defaultRowHeight="15.75" x14ac:dyDescent="0.25"/>
  <cols>
    <col min="1" max="16384" width="2.77734375" style="1"/>
  </cols>
  <sheetData>
    <row r="1" spans="2:25" ht="16.5" thickBot="1" x14ac:dyDescent="0.3"/>
    <row r="2" spans="2:25" ht="16.5" thickBot="1" x14ac:dyDescent="0.3">
      <c r="B2" s="10" t="s">
        <v>43</v>
      </c>
      <c r="C2" s="11"/>
      <c r="D2" s="11"/>
      <c r="E2" s="12"/>
      <c r="F2" s="4" t="s">
        <v>51</v>
      </c>
      <c r="G2" s="5"/>
      <c r="H2" s="5"/>
      <c r="I2" s="5"/>
      <c r="J2" s="6"/>
      <c r="K2" s="10" t="s">
        <v>46</v>
      </c>
      <c r="L2" s="11"/>
      <c r="M2" s="11"/>
      <c r="N2" s="12"/>
      <c r="O2" s="4" t="s">
        <v>51</v>
      </c>
      <c r="P2" s="5"/>
      <c r="Q2" s="5"/>
      <c r="R2" s="5"/>
      <c r="S2" s="5"/>
      <c r="T2" s="5"/>
      <c r="U2" s="5"/>
      <c r="V2" s="5"/>
      <c r="W2" s="5"/>
      <c r="X2" s="5"/>
      <c r="Y2" s="6"/>
    </row>
    <row r="3" spans="2:25" ht="16.5" thickBot="1" x14ac:dyDescent="0.3">
      <c r="B3" s="10" t="s">
        <v>44</v>
      </c>
      <c r="C3" s="11"/>
      <c r="D3" s="11"/>
      <c r="E3" s="12"/>
      <c r="F3" s="4" t="s">
        <v>51</v>
      </c>
      <c r="G3" s="5"/>
      <c r="H3" s="5"/>
      <c r="I3" s="5"/>
      <c r="J3" s="6"/>
      <c r="K3" s="10" t="s">
        <v>45</v>
      </c>
      <c r="L3" s="11"/>
      <c r="M3" s="11"/>
      <c r="N3" s="12"/>
      <c r="O3" s="7"/>
      <c r="P3" s="8"/>
      <c r="Q3" s="8"/>
      <c r="R3" s="8"/>
      <c r="S3" s="9"/>
      <c r="T3" s="1" t="s">
        <v>47</v>
      </c>
      <c r="U3" s="7"/>
      <c r="V3" s="8"/>
      <c r="W3" s="8"/>
      <c r="X3" s="8"/>
      <c r="Y3" s="9"/>
    </row>
  </sheetData>
  <mergeCells count="9">
    <mergeCell ref="U3:Y3"/>
    <mergeCell ref="O2:Y2"/>
    <mergeCell ref="F2:J2"/>
    <mergeCell ref="B2:E2"/>
    <mergeCell ref="B3:E3"/>
    <mergeCell ref="F3:J3"/>
    <mergeCell ref="K2:N2"/>
    <mergeCell ref="K3:N3"/>
    <mergeCell ref="O3:S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マクロ_検索">
                <anchor moveWithCells="1">
                  <from>
                    <xdr:col>0</xdr:col>
                    <xdr:colOff>190500</xdr:colOff>
                    <xdr:row>4</xdr:row>
                    <xdr:rowOff>133350</xdr:rowOff>
                  </from>
                  <to>
                    <xdr:col>4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マクロ_クリア">
                <anchor moveWithCells="1">
                  <from>
                    <xdr:col>5</xdr:col>
                    <xdr:colOff>104775</xdr:colOff>
                    <xdr:row>4</xdr:row>
                    <xdr:rowOff>133350</xdr:rowOff>
                  </from>
                  <to>
                    <xdr:col>9</xdr:col>
                    <xdr:colOff>123825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6" name="Button 10">
              <controlPr defaultSize="0" print="0" autoFill="0" autoPict="0" macro="[0]!マクロ_更新">
                <anchor moveWithCells="1">
                  <from>
                    <xdr:col>11</xdr:col>
                    <xdr:colOff>76200</xdr:colOff>
                    <xdr:row>4</xdr:row>
                    <xdr:rowOff>104775</xdr:rowOff>
                  </from>
                  <to>
                    <xdr:col>15</xdr:col>
                    <xdr:colOff>95250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1023-410C-48BA-AF83-9875644320C2}">
  <sheetPr codeName="Sheet2"/>
  <dimension ref="A1:B30"/>
  <sheetViews>
    <sheetView zoomScale="115" zoomScaleNormal="115" workbookViewId="0"/>
  </sheetViews>
  <sheetFormatPr defaultRowHeight="15.75" x14ac:dyDescent="0.25"/>
  <cols>
    <col min="1" max="1" width="36.6640625" bestFit="1" customWidth="1"/>
    <col min="2" max="3" width="11.5546875" bestFit="1" customWidth="1"/>
  </cols>
  <sheetData>
    <row r="1" spans="1:2" x14ac:dyDescent="0.25">
      <c r="A1" s="13" t="s">
        <v>28</v>
      </c>
      <c r="B1" s="15"/>
    </row>
    <row r="2" spans="1:2" x14ac:dyDescent="0.25">
      <c r="A2" s="14" t="s">
        <v>32</v>
      </c>
      <c r="B2" s="15"/>
    </row>
    <row r="3" spans="1:2" x14ac:dyDescent="0.25">
      <c r="A3" s="14" t="s">
        <v>33</v>
      </c>
      <c r="B3" s="15"/>
    </row>
    <row r="4" spans="1:2" x14ac:dyDescent="0.25">
      <c r="A4" s="14" t="s">
        <v>34</v>
      </c>
      <c r="B4" s="15"/>
    </row>
    <row r="5" spans="1:2" x14ac:dyDescent="0.25">
      <c r="A5" s="14" t="s">
        <v>35</v>
      </c>
      <c r="B5" s="15"/>
    </row>
    <row r="6" spans="1:2" x14ac:dyDescent="0.25">
      <c r="A6" s="14" t="s">
        <v>36</v>
      </c>
      <c r="B6" s="15"/>
    </row>
    <row r="7" spans="1:2" x14ac:dyDescent="0.25">
      <c r="A7" s="14" t="s">
        <v>37</v>
      </c>
      <c r="B7" s="15"/>
    </row>
    <row r="8" spans="1:2" x14ac:dyDescent="0.25">
      <c r="A8" s="14" t="s">
        <v>50</v>
      </c>
      <c r="B8" s="15"/>
    </row>
    <row r="9" spans="1:2" x14ac:dyDescent="0.25">
      <c r="A9" s="14" t="s">
        <v>40</v>
      </c>
      <c r="B9" s="15"/>
    </row>
    <row r="10" spans="1:2" x14ac:dyDescent="0.25">
      <c r="A10" s="14" t="s">
        <v>29</v>
      </c>
      <c r="B10" s="15"/>
    </row>
    <row r="11" spans="1:2" x14ac:dyDescent="0.25">
      <c r="A11" s="14" t="s">
        <v>38</v>
      </c>
      <c r="B11" s="15"/>
    </row>
    <row r="12" spans="1:2" x14ac:dyDescent="0.25">
      <c r="A12" s="13" t="s">
        <v>30</v>
      </c>
      <c r="B12" s="15"/>
    </row>
    <row r="13" spans="1:2" x14ac:dyDescent="0.25">
      <c r="A13" s="14" t="str">
        <f>"    Konnyusaki like '" &amp; B13 &amp; "%' "</f>
        <v xml:space="preserve">    Konnyusaki like '%' </v>
      </c>
      <c r="B13" s="15" t="str">
        <f>IF(KONYUSAKI&lt;&gt;"",KONYUSAKI,"")</f>
        <v/>
      </c>
    </row>
    <row r="14" spans="1:2" x14ac:dyDescent="0.25">
      <c r="A14" s="14" t="str">
        <f>"    and Syubetsu like '" &amp; B14 &amp; "%' "</f>
        <v xml:space="preserve">    and Syubetsu like '%' </v>
      </c>
      <c r="B14" s="15" t="str">
        <f>IF(SYUBETSU&lt;&gt;"",SYUBETSU,"")</f>
        <v/>
      </c>
    </row>
    <row r="15" spans="1:2" ht="16.5" customHeight="1" x14ac:dyDescent="0.25">
      <c r="A15" s="14" t="str">
        <f>"    and HINMEI like '%" &amp; B15 &amp; "%' "</f>
        <v xml:space="preserve">    and HINMEI like '%%' </v>
      </c>
      <c r="B15" s="15" t="str">
        <f>IF(HINMEI&lt;&gt;"",HINMEI,"")</f>
        <v/>
      </c>
    </row>
    <row r="16" spans="1:2" x14ac:dyDescent="0.25">
      <c r="A16" s="14" t="str">
        <f>"    and Hizuke &gt;= NVL(" &amp; B16 &amp; ", '1900/1/1') "</f>
        <v xml:space="preserve">    and Hizuke &gt;= NVL(null, '1900/1/1') </v>
      </c>
      <c r="B16" s="17" t="str">
        <f>IF(DATE_FROM&lt;&gt;"", DATE_FROM, "null")</f>
        <v>null</v>
      </c>
    </row>
    <row r="17" spans="1:2" x14ac:dyDescent="0.25">
      <c r="A17" s="13" t="s">
        <v>31</v>
      </c>
      <c r="B17" s="15"/>
    </row>
    <row r="18" spans="1:2" x14ac:dyDescent="0.25">
      <c r="A18" s="14" t="s">
        <v>39</v>
      </c>
      <c r="B18" s="15"/>
    </row>
    <row r="20" spans="1:2" x14ac:dyDescent="0.25">
      <c r="A20" s="13" t="s">
        <v>28</v>
      </c>
      <c r="B20" s="16"/>
    </row>
    <row r="21" spans="1:2" x14ac:dyDescent="0.25">
      <c r="A21" s="14" t="s">
        <v>42</v>
      </c>
      <c r="B21" s="16"/>
    </row>
    <row r="22" spans="1:2" x14ac:dyDescent="0.25">
      <c r="A22" s="14" t="s">
        <v>34</v>
      </c>
      <c r="B22" s="16"/>
    </row>
    <row r="23" spans="1:2" x14ac:dyDescent="0.25">
      <c r="A23" s="14" t="s">
        <v>49</v>
      </c>
      <c r="B23" s="16"/>
    </row>
    <row r="24" spans="1:2" x14ac:dyDescent="0.25">
      <c r="A24" s="13" t="s">
        <v>29</v>
      </c>
      <c r="B24" s="16"/>
    </row>
    <row r="25" spans="1:2" x14ac:dyDescent="0.25">
      <c r="A25" s="14" t="s">
        <v>38</v>
      </c>
      <c r="B25" s="16"/>
    </row>
    <row r="26" spans="1:2" x14ac:dyDescent="0.25">
      <c r="A26" s="13" t="s">
        <v>30</v>
      </c>
      <c r="B26" s="16"/>
    </row>
    <row r="27" spans="1:2" x14ac:dyDescent="0.25">
      <c r="A27" s="14" t="s">
        <v>48</v>
      </c>
      <c r="B27" s="16"/>
    </row>
    <row r="28" spans="1:2" x14ac:dyDescent="0.25">
      <c r="A28" s="14" t="str">
        <f>"    and Syubetsu like '" &amp; B28 &amp; "%' "</f>
        <v xml:space="preserve">    and Syubetsu like 'HGUC%' </v>
      </c>
      <c r="B28" s="16" t="s">
        <v>3</v>
      </c>
    </row>
    <row r="29" spans="1:2" x14ac:dyDescent="0.25">
      <c r="A29" s="13" t="s">
        <v>31</v>
      </c>
      <c r="B29" s="16"/>
    </row>
    <row r="30" spans="1:2" x14ac:dyDescent="0.25">
      <c r="A30" s="14" t="s">
        <v>39</v>
      </c>
      <c r="B30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C7-9FEF-4757-9F5B-17DA5B3A8F0E}">
  <sheetPr codeName="Sheet7"/>
  <dimension ref="A1:B7"/>
  <sheetViews>
    <sheetView workbookViewId="0">
      <selection activeCell="E21" sqref="E21"/>
    </sheetView>
  </sheetViews>
  <sheetFormatPr defaultRowHeight="15.75" x14ac:dyDescent="0.25"/>
  <cols>
    <col min="1" max="1" width="13.6640625" style="1" customWidth="1"/>
    <col min="2" max="2" width="8.88671875" style="1"/>
  </cols>
  <sheetData>
    <row r="1" spans="1:2" x14ac:dyDescent="0.25">
      <c r="A1" s="3" t="s">
        <v>18</v>
      </c>
      <c r="B1" s="3" t="s">
        <v>21</v>
      </c>
    </row>
    <row r="2" spans="1:2" x14ac:dyDescent="0.25">
      <c r="A2" s="2" t="s">
        <v>2</v>
      </c>
      <c r="B2" s="2" t="s">
        <v>22</v>
      </c>
    </row>
    <row r="3" spans="1:2" x14ac:dyDescent="0.25">
      <c r="A3" s="2" t="s">
        <v>15</v>
      </c>
      <c r="B3" s="2" t="s">
        <v>23</v>
      </c>
    </row>
    <row r="4" spans="1:2" x14ac:dyDescent="0.25">
      <c r="A4" s="2" t="s">
        <v>6</v>
      </c>
      <c r="B4" s="2" t="s">
        <v>24</v>
      </c>
    </row>
    <row r="5" spans="1:2" x14ac:dyDescent="0.25">
      <c r="A5" s="2" t="s">
        <v>14</v>
      </c>
      <c r="B5" s="2" t="s">
        <v>25</v>
      </c>
    </row>
    <row r="6" spans="1:2" x14ac:dyDescent="0.25">
      <c r="A6" s="2" t="s">
        <v>0</v>
      </c>
      <c r="B6" s="2" t="s">
        <v>26</v>
      </c>
    </row>
    <row r="7" spans="1:2" x14ac:dyDescent="0.25">
      <c r="A7" s="2" t="s">
        <v>1</v>
      </c>
      <c r="B7" s="2" t="s">
        <v>27</v>
      </c>
    </row>
  </sheetData>
  <autoFilter ref="A1:A7" xr:uid="{D11529C7-9FEF-4757-9F5B-17DA5B3A8F0E}">
    <sortState xmlns:xlrd2="http://schemas.microsoft.com/office/spreadsheetml/2017/richdata2" ref="A2:A7">
      <sortCondition ref="A1:A7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4C33-A6D3-4BB5-A4E2-0022D913440C}">
  <sheetPr codeName="Sheet5"/>
  <dimension ref="A1"/>
  <sheetViews>
    <sheetView showGridLines="0" workbookViewId="0">
      <pane ySplit="1" topLeftCell="A2" activePane="bottomLeft" state="frozen"/>
      <selection pane="bottomLeft" activeCell="D2" sqref="D2"/>
    </sheetView>
  </sheetViews>
  <sheetFormatPr defaultRowHeight="15.75" x14ac:dyDescent="0.25"/>
  <cols>
    <col min="1" max="1" width="4.5546875" bestFit="1" customWidth="1"/>
    <col min="2" max="2" width="11.21875" bestFit="1" customWidth="1"/>
    <col min="3" max="3" width="8.109375" bestFit="1" customWidth="1"/>
    <col min="4" max="4" width="8.6640625" bestFit="1" customWidth="1"/>
    <col min="5" max="5" width="40.77734375" customWidth="1"/>
    <col min="6" max="6" width="7.109375" bestFit="1" customWidth="1"/>
    <col min="7" max="7" width="6.109375" bestFit="1" customWidth="1"/>
    <col min="8" max="8" width="7.109375" bestFit="1" customWidth="1"/>
  </cols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A6BF3-6398-470A-A650-C0A628751795}">
  <sheetPr codeName="Sheet4"/>
  <dimension ref="A1"/>
  <sheetViews>
    <sheetView showGridLines="0" workbookViewId="0">
      <pane ySplit="1" topLeftCell="A2" activePane="bottomLeft" state="frozen"/>
      <selection pane="bottomLeft" activeCell="E3" sqref="E3"/>
    </sheetView>
  </sheetViews>
  <sheetFormatPr defaultRowHeight="15.75" x14ac:dyDescent="0.25"/>
  <cols>
    <col min="1" max="1" width="4.5546875" hidden="1" customWidth="1"/>
    <col min="2" max="2" width="11.21875" bestFit="1" customWidth="1"/>
    <col min="3" max="3" width="8.109375" bestFit="1" customWidth="1"/>
    <col min="4" max="4" width="8.6640625" bestFit="1" customWidth="1"/>
    <col min="5" max="5" width="40.77734375" customWidth="1"/>
    <col min="6" max="6" width="6.5546875" bestFit="1" customWidth="1"/>
    <col min="7" max="7" width="5.5546875" bestFit="1" customWidth="1"/>
    <col min="8" max="8" width="6.5546875" bestFit="1" customWidth="1"/>
  </cols>
  <sheetData/>
  <sortState xmlns:xlrd2="http://schemas.microsoft.com/office/spreadsheetml/2017/richdata2" ref="A2:H141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D59FD-0BC3-47E0-9E34-FA2FC93A22F6}">
  <sheetPr codeName="Sheet26"/>
  <dimension ref="A1:C13"/>
  <sheetViews>
    <sheetView workbookViewId="0"/>
  </sheetViews>
  <sheetFormatPr defaultRowHeight="15.75" x14ac:dyDescent="0.25"/>
  <cols>
    <col min="1" max="16384" width="8.88671875" style="1"/>
  </cols>
  <sheetData>
    <row r="1" spans="1:3" x14ac:dyDescent="0.25">
      <c r="A1" s="1" t="s">
        <v>19</v>
      </c>
      <c r="B1" s="1" t="s">
        <v>18</v>
      </c>
      <c r="C1" s="1" t="s">
        <v>20</v>
      </c>
    </row>
    <row r="2" spans="1:3" x14ac:dyDescent="0.25">
      <c r="A2" s="1" t="s">
        <v>3</v>
      </c>
      <c r="B2" s="1" t="s">
        <v>0</v>
      </c>
      <c r="C2" s="1" t="s">
        <v>41</v>
      </c>
    </row>
    <row r="3" spans="1:3" x14ac:dyDescent="0.25">
      <c r="A3" s="1" t="s">
        <v>3</v>
      </c>
      <c r="B3" s="1" t="s">
        <v>0</v>
      </c>
      <c r="C3" s="1" t="s">
        <v>4</v>
      </c>
    </row>
    <row r="4" spans="1:3" x14ac:dyDescent="0.25">
      <c r="A4" s="1" t="s">
        <v>3</v>
      </c>
      <c r="B4" s="1" t="s">
        <v>0</v>
      </c>
      <c r="C4" s="1" t="s">
        <v>5</v>
      </c>
    </row>
    <row r="5" spans="1:3" x14ac:dyDescent="0.25">
      <c r="A5" s="1" t="s">
        <v>3</v>
      </c>
      <c r="B5" s="1" t="s">
        <v>2</v>
      </c>
      <c r="C5" s="1" t="s">
        <v>8</v>
      </c>
    </row>
    <row r="6" spans="1:3" x14ac:dyDescent="0.25">
      <c r="A6" s="1" t="s">
        <v>3</v>
      </c>
      <c r="B6" s="1" t="s">
        <v>2</v>
      </c>
      <c r="C6" s="1" t="s">
        <v>7</v>
      </c>
    </row>
    <row r="7" spans="1:3" x14ac:dyDescent="0.25">
      <c r="A7" s="1" t="s">
        <v>3</v>
      </c>
      <c r="B7" s="1" t="s">
        <v>2</v>
      </c>
      <c r="C7" s="1" t="s">
        <v>9</v>
      </c>
    </row>
    <row r="8" spans="1:3" x14ac:dyDescent="0.25">
      <c r="A8" s="1" t="s">
        <v>3</v>
      </c>
      <c r="B8" s="1" t="s">
        <v>2</v>
      </c>
      <c r="C8" s="1" t="s">
        <v>10</v>
      </c>
    </row>
    <row r="9" spans="1:3" x14ac:dyDescent="0.25">
      <c r="A9" s="1" t="s">
        <v>3</v>
      </c>
      <c r="B9" s="1" t="s">
        <v>2</v>
      </c>
      <c r="C9" s="1" t="s">
        <v>11</v>
      </c>
    </row>
    <row r="10" spans="1:3" x14ac:dyDescent="0.25">
      <c r="A10" s="1" t="s">
        <v>3</v>
      </c>
      <c r="B10" s="1" t="s">
        <v>2</v>
      </c>
      <c r="C10" s="1" t="s">
        <v>12</v>
      </c>
    </row>
    <row r="11" spans="1:3" x14ac:dyDescent="0.25">
      <c r="A11" s="1" t="s">
        <v>3</v>
      </c>
      <c r="B11" s="1" t="s">
        <v>2</v>
      </c>
      <c r="C11" s="1" t="s">
        <v>13</v>
      </c>
    </row>
    <row r="12" spans="1:3" x14ac:dyDescent="0.25">
      <c r="A12" s="1" t="s">
        <v>3</v>
      </c>
      <c r="B12" s="1" t="s">
        <v>0</v>
      </c>
      <c r="C12" s="1" t="s">
        <v>16</v>
      </c>
    </row>
    <row r="13" spans="1:3" x14ac:dyDescent="0.25">
      <c r="A13" s="1" t="s">
        <v>3</v>
      </c>
      <c r="B13" s="1" t="s">
        <v>0</v>
      </c>
      <c r="C13" s="1" t="s">
        <v>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</vt:i4>
      </vt:variant>
    </vt:vector>
  </HeadingPairs>
  <TitlesOfParts>
    <vt:vector size="16" baseType="lpstr">
      <vt:lpstr>S10_検索画面</vt:lpstr>
      <vt:lpstr>S20_設定</vt:lpstr>
      <vt:lpstr>S21_マスタ</vt:lpstr>
      <vt:lpstr>S30_元データ</vt:lpstr>
      <vt:lpstr>S40_結果画面</vt:lpstr>
      <vt:lpstr>データ1</vt:lpstr>
      <vt:lpstr>DATE_FROM</vt:lpstr>
      <vt:lpstr>DATE_TO</vt:lpstr>
      <vt:lpstr>HINMEI</vt:lpstr>
      <vt:lpstr>KONYUSAKI</vt:lpstr>
      <vt:lpstr>KonyusakiMst</vt:lpstr>
      <vt:lpstr>SQL検索文</vt:lpstr>
      <vt:lpstr>SQL検索文2</vt:lpstr>
      <vt:lpstr>SYUBETSU</vt:lpstr>
      <vt:lpstr>SYUBETSU2</vt:lpstr>
      <vt:lpstr>データ1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2023-02-17T10:28:52Z</dcterms:created>
  <dcterms:modified xsi:type="dcterms:W3CDTF">2023-03-08T16:02:42Z</dcterms:modified>
</cp:coreProperties>
</file>