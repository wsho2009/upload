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leiades\2022-06\workspace\upload\"/>
    </mc:Choice>
  </mc:AlternateContent>
  <xr:revisionPtr revIDLastSave="0" documentId="13_ncr:1_{06206419-A843-4FBA-8A3B-409303AC1421}" xr6:coauthVersionLast="47" xr6:coauthVersionMax="47" xr10:uidLastSave="{00000000-0000-0000-0000-000000000000}"/>
  <bookViews>
    <workbookView xWindow="10545" yWindow="750" windowWidth="16605" windowHeight="14610" tabRatio="776" activeTab="4" xr2:uid="{5F1D7E0A-B170-4A30-BDA1-57B506CDB917}"/>
  </bookViews>
  <sheets>
    <sheet name="S10_検索画面" sheetId="73" r:id="rId1"/>
    <sheet name="S20_設定" sheetId="2" r:id="rId2"/>
    <sheet name="S21_マスタ" sheetId="92" r:id="rId3"/>
    <sheet name="S30_元データ" sheetId="160" r:id="rId4"/>
    <sheet name="S40_結果画面" sheetId="159" r:id="rId5"/>
    <sheet name="データ1" sheetId="283" r:id="rId6"/>
  </sheets>
  <functionGroups builtInGroupCount="19"/>
  <definedNames>
    <definedName name="_xlnm._FilterDatabase" localSheetId="2" hidden="1">S21_マスタ!$A$1:$A$7</definedName>
    <definedName name="_xlnm._FilterDatabase" localSheetId="3" hidden="1">S30_元データ!#REF!</definedName>
    <definedName name="_xlnm._FilterDatabase" localSheetId="4" hidden="1">S40_結果画面!$A$1:$H$142</definedName>
    <definedName name="DATE_FROM">S10_検索画面!$O$3</definedName>
    <definedName name="DATE_TO">S10_検索画面!$U$3</definedName>
    <definedName name="HINMEI">S10_検索画面!$O$2</definedName>
    <definedName name="KONYUSAKI">S10_検索画面!$F$2</definedName>
    <definedName name="KonyusakiMst">S21_マスタ!$A$2:$B$8</definedName>
    <definedName name="SQL検索文">S20_設定!$A$1:$A$19</definedName>
    <definedName name="SQL検索文2">S20_設定!$A$21:$A$31</definedName>
    <definedName name="SYUBETSU">S10_検索画面!$F$3</definedName>
    <definedName name="SYUBETSU2">S20_設定!$C$29</definedName>
    <definedName name="データ1">データ1!$A$2:$C$21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7" i="2" l="1"/>
  <c r="A17" i="2" s="1"/>
  <c r="C16" i="2"/>
  <c r="A16" i="2" s="1"/>
  <c r="C13" i="2"/>
  <c r="A13" i="2" s="1"/>
  <c r="C15" i="2"/>
  <c r="A15" i="2" s="1"/>
  <c r="C14" i="2"/>
  <c r="A14" i="2" s="1"/>
  <c r="A29" i="2"/>
</calcChain>
</file>

<file path=xl/sharedStrings.xml><?xml version="1.0" encoding="utf-8"?>
<sst xmlns="http://schemas.openxmlformats.org/spreadsheetml/2006/main" count="980" uniqueCount="208">
  <si>
    <t>ヤフオク</t>
  </si>
  <si>
    <t>駿河屋</t>
  </si>
  <si>
    <t>Amazon</t>
  </si>
  <si>
    <t>HGUC</t>
  </si>
  <si>
    <t>hguc 1/144 リック・ディアス クワトロ・バジーナ機 メッサーラ ガザc</t>
  </si>
  <si>
    <t>HGUC 1/144 ハイザック</t>
  </si>
  <si>
    <t>Yahoo!</t>
  </si>
  <si>
    <t>HGUC 200 機動戦士Zガンダム 百式 1/144スケール</t>
  </si>
  <si>
    <t>HGUC 機動戦士Zガンダム MSA-005 メタス 1/144スケール</t>
  </si>
  <si>
    <t>HGUC 1/144 ケンプファー</t>
  </si>
  <si>
    <t>HGUC 機動戦士Zガンダム ガブスレイ 1/144スケール</t>
  </si>
  <si>
    <t>HGUC 機動戦士Zガンダム バーザム 1/144</t>
  </si>
  <si>
    <t>HGUC 1/144 ギラ・ドーガ</t>
  </si>
  <si>
    <t>HGUC 1/144 ヅダ</t>
  </si>
  <si>
    <t>メルカリ</t>
  </si>
  <si>
    <t>STEAM</t>
  </si>
  <si>
    <t>ガンダムTR-1（アドバンスド・ヘイズル）＆ガンダムTR-6用拡張パーツ、Gパーツ（フルドド）  機動戦士Zガンダム バウンド・ドック</t>
  </si>
  <si>
    <t>プレバン ADVANCE OF Z ティターンズの旗のもとに 復刻セット</t>
  </si>
  <si>
    <t>購入先</t>
  </si>
  <si>
    <t>種別</t>
  </si>
  <si>
    <t>品名</t>
  </si>
  <si>
    <t>Code</t>
    <phoneticPr fontId="1"/>
  </si>
  <si>
    <t>001</t>
    <phoneticPr fontId="1"/>
  </si>
  <si>
    <t>002</t>
    <phoneticPr fontId="1"/>
  </si>
  <si>
    <t>003</t>
    <phoneticPr fontId="1"/>
  </si>
  <si>
    <t>004</t>
    <phoneticPr fontId="1"/>
  </si>
  <si>
    <t>005</t>
    <phoneticPr fontId="1"/>
  </si>
  <si>
    <t>006</t>
    <phoneticPr fontId="1"/>
  </si>
  <si>
    <t>select</t>
  </si>
  <si>
    <t>from</t>
  </si>
  <si>
    <t>where</t>
  </si>
  <si>
    <r>
      <t>order</t>
    </r>
    <r>
      <rPr>
        <sz val="11"/>
        <color theme="1"/>
        <rFont val="Meiryo UI"/>
        <family val="3"/>
        <charset val="128"/>
      </rPr>
      <t xml:space="preserve"> </t>
    </r>
    <r>
      <rPr>
        <sz val="11"/>
        <color rgb="FF0080FF"/>
        <rFont val="Meiryo UI"/>
        <family val="3"/>
        <charset val="128"/>
      </rPr>
      <t>by</t>
    </r>
  </si>
  <si>
    <r>
      <t xml:space="preserve">    </t>
    </r>
    <r>
      <rPr>
        <sz val="11"/>
        <color rgb="FF808080"/>
        <rFont val="Meiryo UI"/>
        <family val="3"/>
        <charset val="128"/>
      </rPr>
      <t>,</t>
    </r>
    <r>
      <rPr>
        <sz val="11"/>
        <color theme="1"/>
        <rFont val="Meiryo UI"/>
        <family val="3"/>
        <charset val="128"/>
      </rPr>
      <t xml:space="preserve"> HIZUKE 日付</t>
    </r>
  </si>
  <si>
    <r>
      <t xml:space="preserve">    </t>
    </r>
    <r>
      <rPr>
        <sz val="11"/>
        <color rgb="FF808080"/>
        <rFont val="Meiryo UI"/>
        <family val="3"/>
        <charset val="128"/>
      </rPr>
      <t>,</t>
    </r>
    <r>
      <rPr>
        <sz val="11"/>
        <color theme="1"/>
        <rFont val="Meiryo UI"/>
        <family val="3"/>
        <charset val="128"/>
      </rPr>
      <t xml:space="preserve"> KONNYUSAKI 購入先</t>
    </r>
  </si>
  <si>
    <r>
      <t xml:space="preserve">    </t>
    </r>
    <r>
      <rPr>
        <sz val="11"/>
        <color rgb="FF808080"/>
        <rFont val="Meiryo UI"/>
        <family val="3"/>
        <charset val="128"/>
      </rPr>
      <t>,</t>
    </r>
    <r>
      <rPr>
        <sz val="11"/>
        <color theme="1"/>
        <rFont val="Meiryo UI"/>
        <family val="3"/>
        <charset val="128"/>
      </rPr>
      <t xml:space="preserve"> SYUBETSU 種別</t>
    </r>
  </si>
  <si>
    <r>
      <t xml:space="preserve">    </t>
    </r>
    <r>
      <rPr>
        <sz val="11"/>
        <color rgb="FF808080"/>
        <rFont val="Meiryo UI"/>
        <family val="3"/>
        <charset val="128"/>
      </rPr>
      <t>,</t>
    </r>
    <r>
      <rPr>
        <sz val="11"/>
        <color theme="1"/>
        <rFont val="Meiryo UI"/>
        <family val="3"/>
        <charset val="128"/>
      </rPr>
      <t xml:space="preserve"> HINMEI 品名</t>
    </r>
  </si>
  <si>
    <r>
      <t xml:space="preserve">    </t>
    </r>
    <r>
      <rPr>
        <sz val="11"/>
        <color rgb="FF808080"/>
        <rFont val="Meiryo UI"/>
        <family val="3"/>
        <charset val="128"/>
      </rPr>
      <t>,</t>
    </r>
    <r>
      <rPr>
        <sz val="11"/>
        <color theme="1"/>
        <rFont val="Meiryo UI"/>
        <family val="3"/>
        <charset val="128"/>
      </rPr>
      <t xml:space="preserve"> KAKAKU 価格</t>
    </r>
  </si>
  <si>
    <t xml:space="preserve">    konyu_rireki </t>
  </si>
  <si>
    <r>
      <t xml:space="preserve">    Hizuke </t>
    </r>
    <r>
      <rPr>
        <sz val="11"/>
        <color rgb="FF0080FF"/>
        <rFont val="Meiryo UI"/>
        <family val="3"/>
        <charset val="128"/>
      </rPr>
      <t>desc</t>
    </r>
  </si>
  <si>
    <r>
      <t xml:space="preserve">    </t>
    </r>
    <r>
      <rPr>
        <sz val="11"/>
        <color rgb="FF808080"/>
        <rFont val="Meiryo UI"/>
        <family val="3"/>
        <charset val="128"/>
      </rPr>
      <t>,</t>
    </r>
    <r>
      <rPr>
        <sz val="11"/>
        <color theme="1"/>
        <rFont val="Meiryo UI"/>
        <family val="3"/>
        <charset val="128"/>
      </rPr>
      <t xml:space="preserve"> KAKAKU_KEI 合計 </t>
    </r>
    <phoneticPr fontId="1"/>
  </si>
  <si>
    <t>【HG UC 】バンダイ 1/144 ガンダムF91 ガンプラ【未組立】</t>
  </si>
  <si>
    <t xml:space="preserve">    SYUBETSU 種別</t>
  </si>
  <si>
    <t>購入先</t>
    <rPh sb="0" eb="3">
      <t>コウニュウサキ</t>
    </rPh>
    <phoneticPr fontId="1"/>
  </si>
  <si>
    <t>種別</t>
    <rPh sb="0" eb="2">
      <t>シュベツ</t>
    </rPh>
    <phoneticPr fontId="1"/>
  </si>
  <si>
    <t>日付</t>
    <rPh sb="0" eb="2">
      <t>ヒヅケ</t>
    </rPh>
    <phoneticPr fontId="1"/>
  </si>
  <si>
    <t>品名</t>
    <rPh sb="0" eb="2">
      <t>ヒンメイ</t>
    </rPh>
    <phoneticPr fontId="1"/>
  </si>
  <si>
    <t>～</t>
    <phoneticPr fontId="1"/>
  </si>
  <si>
    <r>
      <t xml:space="preserve">    rownum </t>
    </r>
    <r>
      <rPr>
        <sz val="11"/>
        <color rgb="FF808080"/>
        <rFont val="Meiryo UI"/>
        <family val="3"/>
        <charset val="128"/>
      </rPr>
      <t>&lt;=</t>
    </r>
    <r>
      <rPr>
        <sz val="11"/>
        <color theme="1"/>
        <rFont val="Meiryo UI"/>
        <family val="3"/>
        <charset val="128"/>
      </rPr>
      <t xml:space="preserve"> </t>
    </r>
    <r>
      <rPr>
        <sz val="11"/>
        <color rgb="FFFF2800"/>
        <rFont val="Meiryo UI"/>
        <family val="3"/>
        <charset val="128"/>
      </rPr>
      <t>20</t>
    </r>
    <r>
      <rPr>
        <sz val="11"/>
        <color theme="1"/>
        <rFont val="Meiryo UI"/>
        <family val="3"/>
        <charset val="128"/>
      </rPr>
      <t xml:space="preserve"> </t>
    </r>
    <phoneticPr fontId="1"/>
  </si>
  <si>
    <r>
      <t xml:space="preserve">    </t>
    </r>
    <r>
      <rPr>
        <sz val="11"/>
        <color rgb="FF808080"/>
        <rFont val="Meiryo UI"/>
        <family val="3"/>
        <charset val="128"/>
      </rPr>
      <t>,</t>
    </r>
    <r>
      <rPr>
        <sz val="11"/>
        <color theme="1"/>
        <rFont val="Meiryo UI"/>
        <family val="3"/>
        <charset val="128"/>
      </rPr>
      <t xml:space="preserve"> HINMEI 品名 </t>
    </r>
    <rPh sb="13" eb="15">
      <t>ヒンメイ</t>
    </rPh>
    <phoneticPr fontId="1"/>
  </si>
  <si>
    <r>
      <t xml:space="preserve">    </t>
    </r>
    <r>
      <rPr>
        <sz val="11"/>
        <color rgb="FF808080"/>
        <rFont val="Meiryo UI"/>
        <family val="3"/>
        <charset val="128"/>
      </rPr>
      <t>,</t>
    </r>
    <r>
      <rPr>
        <sz val="11"/>
        <color theme="1"/>
        <rFont val="Meiryo UI"/>
        <family val="3"/>
        <charset val="128"/>
      </rPr>
      <t xml:space="preserve"> SORYO 送料</t>
    </r>
    <rPh sb="12" eb="14">
      <t>ソウリョウ</t>
    </rPh>
    <phoneticPr fontId="1"/>
  </si>
  <si>
    <t/>
  </si>
  <si>
    <t>行</t>
  </si>
  <si>
    <t>日付</t>
  </si>
  <si>
    <t>価格</t>
  </si>
  <si>
    <t>送料</t>
  </si>
  <si>
    <t>合計</t>
  </si>
  <si>
    <t>マクロス</t>
  </si>
  <si>
    <t>バンダイ　HG 1/100 YF-19</t>
  </si>
  <si>
    <t>ガンダム</t>
  </si>
  <si>
    <t>ガンダムアーティファクト第3弾</t>
  </si>
  <si>
    <t>他</t>
  </si>
  <si>
    <t>Bluetooth5.2 ワイヤレスイヤホン 耳掛け型 ヘッドセット</t>
  </si>
  <si>
    <t>Bluetooth 5.0 長時間 耳掛け HIFI音質 落下防止 イヤフォン</t>
  </si>
  <si>
    <t>ボトムズ</t>
  </si>
  <si>
    <t>まん点工房　1/60 ラウンドムーバータイプ スコープドック</t>
  </si>
  <si>
    <t>1/35 スナッピングタートル ST版 「装甲騎兵ボトムズ」 [BK-233]</t>
  </si>
  <si>
    <t>ハセガワ 1/72 超時空要塞マクロス VF-1A ARMORED VALKRIE</t>
  </si>
  <si>
    <t>Gフレーム</t>
  </si>
  <si>
    <t>機動戦士ガンダム GフレームFA 03</t>
  </si>
  <si>
    <t>AG</t>
  </si>
  <si>
    <t>装甲騎兵ボトムズ フィギュア SCOPEDOG ATM-09-ST / STANDING TORTOISE ATH-14-ST</t>
  </si>
  <si>
    <t>Gフレーム EX02 ガンダム試作2号機</t>
  </si>
  <si>
    <t>GUNDAM GフレームFA 01 アーマーセット</t>
  </si>
  <si>
    <t>Gフレーム FA 01 RE01A RE01F vガンダム</t>
  </si>
  <si>
    <t>SAK リバイバルコレクション2</t>
  </si>
  <si>
    <t>1/35 ブルーティッシュドッグ ST版 「装甲騎兵ボトムズ」 [BK-227]</t>
  </si>
  <si>
    <t>ペールゼン？ファイルズ　アクティックギア　キリコ機</t>
  </si>
  <si>
    <t>ゲーム</t>
  </si>
  <si>
    <t>ドラゴンクエストX　目覚めし五つの種族　オフライン</t>
  </si>
  <si>
    <t>チョイプラ</t>
  </si>
  <si>
    <t>チョイプラ 装甲騎兵ボトムズ スコープドッグ レッドショルダーカスタム＋ブルーティッシュドッグ 2体セット</t>
  </si>
  <si>
    <t>RG</t>
  </si>
  <si>
    <t>RG 機動戦士ガンダム 逆襲のシャア Hi-νガンダム 1/144スケール</t>
  </si>
  <si>
    <t>バッファロー USBメモリ 32GB</t>
  </si>
  <si>
    <t>Michael Linnell MLAC-07</t>
  </si>
  <si>
    <t>WiFi 無線LAN 子機 1300Mbps wifi アダプタ 2.4G/5G wifi usb</t>
  </si>
  <si>
    <t>ボトムズ アクティックギア　【パープルベア】</t>
  </si>
  <si>
    <t>ATH-14-ST 1/48 STANDING TORTOISE？</t>
  </si>
  <si>
    <t>機動戦士ガンダム GフレームFA 02 [アソート4種(リック・ディアス、サザビー)]？</t>
  </si>
  <si>
    <t>チョイプラシリーズ 装甲騎兵ボトムズ ATM-09-ST スコープドッグ</t>
  </si>
  <si>
    <t>チョイプラ 装甲騎兵ボトムズ コマンドフォークト スコープドッグアサルト レーン機 プラモデル</t>
  </si>
  <si>
    <t>チョイプラシリーズ 装甲騎兵ボトムズ ATM-09-ST スコープドッグ メルキアカラー</t>
  </si>
  <si>
    <t>35MAX イラストカード＆マーキングシールのみ 未開封12枚セット</t>
  </si>
  <si>
    <t>1/60 ガシャポン PVCフィギュア 10体セット 装甲騎兵ボトムズ</t>
  </si>
  <si>
    <t>1/35 スコープドッグ バトリングセット(ST版) 「装甲騎兵ボトムズ」 [BK-199]</t>
  </si>
  <si>
    <t>アクティックギア スコープドッグ コチャック機</t>
  </si>
  <si>
    <t>AG-VTM05　DIRGE OF SOLDIER　ATM-09-STTC</t>
  </si>
  <si>
    <t>MIA</t>
  </si>
  <si>
    <t>miaガンダムファイナルデュエルセット、スターダストメモリー0083</t>
  </si>
  <si>
    <t>ユニオン 装甲騎兵ボトムズ　プラモデル　5個まとめてセット</t>
  </si>
  <si>
    <t>MIA 逆襲のシャア　8体セット</t>
  </si>
  <si>
    <t>ｱｰﾃｨﾌｧｸﾄ</t>
  </si>
  <si>
    <t>ガンダムアーティファクト第2弾 ノーマル5種コンプリート</t>
  </si>
  <si>
    <t>アクティックギア ペールゼン・ファイルズVre. スコープドッグ ターボカスタムISS仕様</t>
  </si>
  <si>
    <t>MIA レア MSN-03 ヤクト・ドーガ ギュネイ・ガス専用機</t>
  </si>
  <si>
    <t>タカラトミー 装甲騎兵ボトムズ ボトムズウェポン 非売品</t>
  </si>
  <si>
    <t>MIA モビルスーツインアクション ガンダム 08小隊 可動フィギュア 5体</t>
  </si>
  <si>
    <t>MOBILE SUIT IN ACTION!! PMX-003 THE-O</t>
  </si>
  <si>
    <t>MIA モビルスーツ イン アクション ヅダ フィギュア</t>
  </si>
  <si>
    <t>D-スタイル スコープドッグ ターボカスタム サンサ戦仕様 グレゴルー機&amp;バイマン機&amp;ムーザ機</t>
  </si>
  <si>
    <t>モビルスーツ・イン・アクション！！RMS-117ガルバルディβ</t>
  </si>
  <si>
    <t>MIA ハイザック</t>
  </si>
  <si>
    <t>アクティックギア スタンディングタートル AG-V15</t>
  </si>
  <si>
    <t>MIA ゲルググ</t>
  </si>
  <si>
    <t>ハセガワ 超時空要塞マクロス VF-1J アーマード バルキリー（バトロイド） 1/72スケール</t>
  </si>
  <si>
    <t>AT-フライ ＆ スコープドッグ◆ボトムズ◆アクティックギア</t>
  </si>
  <si>
    <t>なし</t>
  </si>
  <si>
    <t>未設定</t>
  </si>
  <si>
    <t>MIA ジオング</t>
  </si>
  <si>
    <t xml:space="preserve">MIA ZZガンダム ガンダムMKⅡ 百式 Zガンダム 4体セット </t>
  </si>
  <si>
    <t>MIA ガザC ハマーン・カーン専用機　2個セット</t>
  </si>
  <si>
    <t>MIA　ハンブラビ</t>
  </si>
  <si>
    <t>その他</t>
  </si>
  <si>
    <t>bluetooth5.0 ワイアレス イヤホン</t>
  </si>
  <si>
    <t>MIA　Zガンダム/セカンドバージョン</t>
  </si>
  <si>
    <t>エレコム ゲームパッド USB接続</t>
  </si>
  <si>
    <t>MIA　マラサイ</t>
  </si>
  <si>
    <t>MIA？ガザC 2</t>
  </si>
  <si>
    <t>HCM</t>
  </si>
  <si>
    <t>HIGH COMPLETE MODEL 百式 ザクII</t>
  </si>
  <si>
    <t>アイリスオーヤマ ラック メタルラック パーツ キャスター</t>
  </si>
  <si>
    <t>MIA　モビルスーツ・イン・アクション　ガンダム、ガンキャノン、ザク、ドム等９セット</t>
  </si>
  <si>
    <t>HDMI ケーブル １m</t>
  </si>
  <si>
    <t>MIA 海外版 五体セット ブリスター剥がれあり</t>
  </si>
  <si>
    <t>Bluetoothイヤホン耳掛け型</t>
  </si>
  <si>
    <t>HCM pro ガンキャノン</t>
  </si>
  <si>
    <t>HCM-Pro24 ハンブラビ</t>
  </si>
  <si>
    <t>MIA MSA-005 メタス&amp;メガ・バズーカ・ランチャー</t>
  </si>
  <si>
    <t xml:space="preserve">HCM PRO SPなど6体セット　サザビー、シャア専用リック・ドム、νガンダム、ヤクトドーガ2、ガンダムエクシア </t>
  </si>
  <si>
    <t>MIA デンドロビウム ザメル ガンダム試作2号機 他</t>
  </si>
  <si>
    <t>ボトムズ　AG-EX05　ザ・ラストレッドショルダー　＋　AG-VTM05</t>
  </si>
  <si>
    <t>HCM PRO リックドム　ガンタンク　ガンダムMk-II ガンダム　まとめ売り</t>
  </si>
  <si>
    <t>ロボット魂 ジンクスⅣ量産型、VF-25メサイアバルキリー</t>
  </si>
  <si>
    <t>PFSP-02 バーコフ機 アクティックギア ペールゼンファイルズ Ver. スコープドッグ</t>
  </si>
  <si>
    <t xml:space="preserve">[DVD全６巻セット] 装甲騎兵ボトムズ ペールゼン・ファイルズ １～６巻 </t>
  </si>
  <si>
    <t>装甲騎兵ボトムズ 1/48 アクティックギア AG-EX10 ダイビングビートル＆降下ポッド</t>
  </si>
  <si>
    <t>装甲騎兵ボトムズ ACTIC GEAR 1/48 AG-V18 AT ChroniclesI クメンの砲火</t>
  </si>
  <si>
    <t>VF-25F スーパーメサイアバルキリー アルト機 3形態可変モデル 1/72</t>
  </si>
  <si>
    <t>装甲騎兵ボトムズ ACTIC GEAR 1/48 AG-V14 ATトランスポーター</t>
  </si>
  <si>
    <t>装甲騎兵 ボトムズ アクティックギア ケイオススペース AG-VTM03</t>
  </si>
  <si>
    <t>装甲騎兵ボトムズ 1/48 アクティックギア ベルゼルガ ダイビングビートル　スコープドッグ未開封</t>
  </si>
  <si>
    <t>装甲騎兵ボトムズ　アクティックギア　1/48　AG-VTМ02　ASSEМBLE　TRPERS</t>
  </si>
  <si>
    <t>AG-V08スコープドッグターボカスタム キリコ機 AG-V02スコープドッグ パラシュートザック</t>
  </si>
  <si>
    <t>エレコム キーボード ワイヤレス</t>
  </si>
  <si>
    <t>バルキリー ウェポンセット /　マクロススタンド</t>
  </si>
  <si>
    <t>PC</t>
  </si>
  <si>
    <t>驚速スリムタワー■Corei5-4460 3.4Gx4/メモリ8GB■新SSD240GB+HDD1TB Win10 Office2019 USB3.0/HDMI/追加 無線LAN■ DELL VOSTRO 3800 3B</t>
  </si>
  <si>
    <t>ハセガワ1:72VF-1S/Aストライク/スーパーガウォークバルキリー</t>
  </si>
  <si>
    <t>東芝100%純正ACアタプター</t>
  </si>
  <si>
    <t>25周年記念 スコープドッグターボカスタム (スクラッチ仕様) \2,145エイティーフライ＆スタンディングトータス \2,964</t>
  </si>
  <si>
    <t>MG</t>
  </si>
  <si>
    <t>バンダイ MG 1/100 機動戦士Zガンダム　Zガンダム　※手付品</t>
  </si>
  <si>
    <t>アクティックギア AG－PF01 装甲騎兵ボトムズ 渡河作戦 スコープドッグ＆ダイビングビートル セット</t>
  </si>
  <si>
    <t>バンダイ RG 1/144 ν ガンダム HWS 拡張 セット</t>
  </si>
  <si>
    <t>バンダイ 1/72 VF-25F アーマードメサイアバルキリー アルト機</t>
  </si>
  <si>
    <t>25周年記念 スコープドッグターボカスタム (スクラッチ仕様) \2,145 エイティーフライ＆スタンディングトータス \2,964</t>
  </si>
  <si>
    <t>スタンディングタートル･ペールゼン・ファイルズ 01 渡河作戦・ペールゼン・ファイルズ 03 冷獄</t>
  </si>
  <si>
    <t>VANISHING QUENT / スコープドッグ　ラウンドムーバー / ベルゼルガ / ファッティー</t>
  </si>
  <si>
    <t>ATM-09-SA スコープドッグ ラウンドムーバー 「装甲騎兵ボトムズ」 AG-V04</t>
  </si>
  <si>
    <t>装甲騎兵ボトムズ　フィギュア５個　サンライズ　メカアクション　TAKARA FATTY ・AG-V12  ファッティー地上用A型 ・AG-V13  ファッティー地上用B型</t>
  </si>
  <si>
    <t>ハセガワ　1/72マクロス　VE-1エリントシーカー/VF-1Sバトロイドバルキリー/ドラケンⅢ 3個セット</t>
  </si>
  <si>
    <t>装甲騎兵ボトムズ　アクティックギア　まとめて6点セット</t>
  </si>
  <si>
    <t>アクティックギア(ケイオススペース)1/48スケール</t>
  </si>
  <si>
    <t>装甲騎兵ボトムズ アクティックギア まとめ</t>
  </si>
  <si>
    <t>ハセガワ　1/72　VF-1S　ストライクバルキリー</t>
  </si>
  <si>
    <t>アクティックギア　AG-EX09 RESIST KUMMEN</t>
  </si>
  <si>
    <t>AG-VTM05 ダージュオブソルジャー　★希少品★</t>
  </si>
  <si>
    <t>装甲騎兵ボトムズ　未開封5個まとめて</t>
  </si>
  <si>
    <t>1/48アクティックギア 6機セット</t>
  </si>
  <si>
    <t>ボトムズ アクティックギア AG-V06 ベルゼルガ</t>
  </si>
  <si>
    <t>ボトムズ アクティックギア4点(箱あり) ダイビングビートル フアッティ スタンディング トータス リベンジ オブ レッドショルダー</t>
  </si>
  <si>
    <t>装甲騎兵ボトムズ スコープドッグ　限定版　1.2.3.4.5.6 付属品のみ　★希少品★</t>
  </si>
  <si>
    <t>Dスタイル/装甲騎兵ボトムズ/スコープドッグ/ターボカスタム/サンサ戦仕様/グレゴルー機&amp;バイマン機&amp;ムーザ機</t>
  </si>
  <si>
    <t>欠品　タカラ アクティックギア 1/48 装甲騎兵ボトムズ AG-EX03 ATフライandダイビングビートル</t>
  </si>
  <si>
    <t>☆新品 D-STYLE 装甲騎兵ボトムズ スコープドッグ ターボカスタム サンサ戦仕様 キリコ機</t>
  </si>
  <si>
    <t>ATM-09-ST リーマンスカッド</t>
  </si>
  <si>
    <t>レッドショルダー サンサ戦キリコ機 「装甲騎兵ボトムズ」 1/48 アクティックギア AG-V11</t>
  </si>
  <si>
    <t>1/48アクティックギア 7機セット・リーマンスカッド他 （箱なし）</t>
  </si>
  <si>
    <t xml:space="preserve">【訳あり】アクティックギア AG-V05 スコープドッグ レッドショルダーカスタム </t>
  </si>
  <si>
    <t>1/48アクティックギア 7機セット</t>
  </si>
  <si>
    <t>プラモデル</t>
  </si>
  <si>
    <t>ニッパー　＆　ウエーブボトムズデカール</t>
  </si>
  <si>
    <t>装甲騎兵ボトムズ アクティックギア AG-EX 11 ATフライ&amp;スタンディングトータス</t>
  </si>
  <si>
    <t>or Konnyusaki is null</t>
    <phoneticPr fontId="1"/>
  </si>
  <si>
    <t>or Syubetsu is null</t>
    <phoneticPr fontId="1"/>
  </si>
  <si>
    <t>or HINMEI is null</t>
    <phoneticPr fontId="1"/>
  </si>
  <si>
    <t>null条件</t>
    <rPh sb="4" eb="6">
      <t>ジョウケン</t>
    </rPh>
    <phoneticPr fontId="1"/>
  </si>
  <si>
    <t>検索項目</t>
    <rPh sb="0" eb="4">
      <t>ケンサクコウモク</t>
    </rPh>
    <phoneticPr fontId="1"/>
  </si>
  <si>
    <t>SQL2</t>
    <phoneticPr fontId="1"/>
  </si>
  <si>
    <t>前方一致</t>
    <rPh sb="0" eb="4">
      <t>ゼンポウイッチ</t>
    </rPh>
    <phoneticPr fontId="1"/>
  </si>
  <si>
    <t>部分一致</t>
    <rPh sb="0" eb="4">
      <t>ブブンイッチ</t>
    </rPh>
    <phoneticPr fontId="1"/>
  </si>
  <si>
    <t>Date FROM</t>
    <phoneticPr fontId="1"/>
  </si>
  <si>
    <t>Date TO</t>
    <phoneticPr fontId="1"/>
  </si>
  <si>
    <t>000</t>
    <phoneticPr fontId="1"/>
  </si>
  <si>
    <t>未設定</t>
    <rPh sb="0" eb="3">
      <t>ミセッテイ</t>
    </rPh>
    <phoneticPr fontId="1"/>
  </si>
  <si>
    <t>バンダイ　HG 1/100 YF-19</t>
    <phoneticPr fontId="1"/>
  </si>
  <si>
    <t>購入履歴リスト</t>
    <rPh sb="0" eb="2">
      <t>コウニュウ</t>
    </rPh>
    <rPh sb="2" eb="4">
      <t>リレキ</t>
    </rPh>
    <phoneticPr fontId="1"/>
  </si>
  <si>
    <t xml:space="preserve">    NULL 行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</si>
</sst>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10" x14ac:knownFonts="1">
    <font>
      <sz val="11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rgb="FF000000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80FF"/>
      <name val="Meiryo UI"/>
      <family val="3"/>
      <charset val="128"/>
    </font>
    <font>
      <sz val="11"/>
      <color theme="1"/>
      <name val="Meiryo UI"/>
      <family val="3"/>
      <charset val="128"/>
    </font>
    <font>
      <sz val="11"/>
      <color rgb="FF808080"/>
      <name val="Meiryo UI"/>
      <family val="3"/>
      <charset val="128"/>
    </font>
    <font>
      <sz val="11"/>
      <color rgb="FFFF2800"/>
      <name val="Meiryo UI"/>
      <family val="3"/>
      <charset val="128"/>
    </font>
    <font>
      <sz val="11"/>
      <color theme="1"/>
      <name val="Meiryo UI"/>
      <family val="2"/>
      <charset val="128"/>
    </font>
    <font>
      <b/>
      <sz val="11"/>
      <color theme="0"/>
      <name val="Meiryo UI"/>
      <family val="2"/>
      <charset val="128"/>
    </font>
  </fonts>
  <fills count="8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>
      <alignment vertical="center"/>
    </xf>
    <xf numFmtId="38" fontId="8" fillId="0" borderId="0" applyFont="0" applyFill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0" fillId="0" borderId="1" xfId="0" applyNumberFormat="1" applyBorder="1">
      <alignment vertical="center"/>
    </xf>
    <xf numFmtId="49" fontId="3" fillId="2" borderId="1" xfId="0" applyNumberFormat="1" applyFont="1" applyFill="1" applyBorder="1" applyAlignment="1">
      <alignment horizontal="center" vertical="center"/>
    </xf>
    <xf numFmtId="0" fontId="4" fillId="4" borderId="0" xfId="0" applyFont="1" applyFill="1">
      <alignment vertical="center"/>
    </xf>
    <xf numFmtId="0" fontId="5" fillId="4" borderId="0" xfId="0" applyFont="1" applyFill="1">
      <alignment vertical="center"/>
    </xf>
    <xf numFmtId="0" fontId="0" fillId="5" borderId="0" xfId="0" applyFill="1">
      <alignment vertical="center"/>
    </xf>
    <xf numFmtId="14" fontId="0" fillId="0" borderId="0" xfId="0" applyNumberFormat="1">
      <alignment vertical="center"/>
    </xf>
    <xf numFmtId="176" fontId="0" fillId="0" borderId="8" xfId="0" applyNumberFormat="1" applyBorder="1" applyAlignment="1">
      <alignment horizontal="left" vertical="center"/>
    </xf>
    <xf numFmtId="176" fontId="0" fillId="0" borderId="9" xfId="0" applyNumberFormat="1" applyBorder="1" applyAlignment="1">
      <alignment horizontal="left" vertical="center"/>
    </xf>
    <xf numFmtId="176" fontId="0" fillId="0" borderId="10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0" borderId="5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left" vertical="center"/>
    </xf>
    <xf numFmtId="49" fontId="0" fillId="3" borderId="2" xfId="0" applyNumberFormat="1" applyFill="1" applyBorder="1" applyAlignment="1">
      <alignment horizontal="left" vertical="center"/>
    </xf>
    <xf numFmtId="49" fontId="0" fillId="3" borderId="3" xfId="0" applyNumberFormat="1" applyFill="1" applyBorder="1" applyAlignment="1">
      <alignment horizontal="left" vertical="center"/>
    </xf>
    <xf numFmtId="49" fontId="0" fillId="3" borderId="7" xfId="0" applyNumberFormat="1" applyFill="1" applyBorder="1" applyAlignment="1">
      <alignment horizontal="left" vertical="center"/>
    </xf>
    <xf numFmtId="0" fontId="0" fillId="6" borderId="0" xfId="0" applyFill="1">
      <alignment vertical="center"/>
    </xf>
    <xf numFmtId="0" fontId="0" fillId="0" borderId="0" xfId="0" applyBorder="1">
      <alignment vertical="center"/>
    </xf>
    <xf numFmtId="0" fontId="0" fillId="5" borderId="0" xfId="0" applyNumberFormat="1" applyFill="1">
      <alignment vertical="center"/>
    </xf>
    <xf numFmtId="0" fontId="0" fillId="0" borderId="2" xfId="0" applyBorder="1">
      <alignment vertical="center"/>
    </xf>
    <xf numFmtId="0" fontId="0" fillId="0" borderId="0" xfId="0" applyAlignment="1">
      <alignment horizontal="center" vertical="center"/>
    </xf>
    <xf numFmtId="0" fontId="9" fillId="7" borderId="12" xfId="0" applyFont="1" applyFill="1" applyBorder="1" applyAlignment="1">
      <alignment horizontal="center" vertical="center"/>
    </xf>
    <xf numFmtId="176" fontId="0" fillId="0" borderId="0" xfId="0" applyNumberFormat="1" applyBorder="1">
      <alignment vertical="center"/>
    </xf>
    <xf numFmtId="176" fontId="9" fillId="7" borderId="11" xfId="0" applyNumberFormat="1" applyFont="1" applyFill="1" applyBorder="1" applyAlignment="1">
      <alignment horizontal="center" vertical="center"/>
    </xf>
    <xf numFmtId="176" fontId="0" fillId="0" borderId="0" xfId="0" applyNumberFormat="1">
      <alignment vertical="center"/>
    </xf>
    <xf numFmtId="38" fontId="0" fillId="0" borderId="0" xfId="1" applyFont="1" applyBorder="1">
      <alignment vertical="center"/>
    </xf>
    <xf numFmtId="38" fontId="9" fillId="7" borderId="12" xfId="1" applyFont="1" applyFill="1" applyBorder="1" applyAlignment="1">
      <alignment horizontal="center" vertical="center"/>
    </xf>
    <xf numFmtId="38" fontId="0" fillId="0" borderId="0" xfId="1" applyFont="1">
      <alignment vertical="center"/>
    </xf>
    <xf numFmtId="0" fontId="0" fillId="0" borderId="0" xfId="0" applyFill="1">
      <alignment vertical="center"/>
    </xf>
  </cellXfs>
  <cellStyles count="2">
    <cellStyle name="桁区切り" xfId="1" builtinId="6"/>
    <cellStyle name="標準" xfId="0" builtinId="0"/>
  </cellStyles>
  <dxfs count="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eiryo UI"/>
        <family val="2"/>
        <charset val="128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border outline="0">
        <right style="thin">
          <color theme="4" tint="0.39997558519241921"/>
        </right>
      </border>
    </dxf>
  </dxfs>
  <tableStyles count="0" defaultTableStyle="TableStyleMedium2" defaultPivotStyle="PivotStyleLight16"/>
  <colors>
    <mruColors>
      <color rgb="FFCCFFCC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4</xdr:row>
          <xdr:rowOff>133350</xdr:rowOff>
        </xdr:from>
        <xdr:to>
          <xdr:col>4</xdr:col>
          <xdr:colOff>209550</xdr:colOff>
          <xdr:row>6</xdr:row>
          <xdr:rowOff>28575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00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104775</xdr:colOff>
          <xdr:row>4</xdr:row>
          <xdr:rowOff>133350</xdr:rowOff>
        </xdr:from>
        <xdr:to>
          <xdr:col>9</xdr:col>
          <xdr:colOff>123825</xdr:colOff>
          <xdr:row>6</xdr:row>
          <xdr:rowOff>28575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00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76200</xdr:colOff>
          <xdr:row>4</xdr:row>
          <xdr:rowOff>104775</xdr:rowOff>
        </xdr:from>
        <xdr:to>
          <xdr:col>15</xdr:col>
          <xdr:colOff>95250</xdr:colOff>
          <xdr:row>6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00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21661FA-25A9-40AE-84B5-3D0D17402C4E}" name="テーブル2" displayName="テーブル2" ref="A2:H142" totalsRowShown="0" headerRowDxfId="0" tableBorderDxfId="1">
  <autoFilter ref="A2:H142" xr:uid="{621661FA-25A9-40AE-84B5-3D0D17402C4E}"/>
  <tableColumns count="8">
    <tableColumn id="1" xr3:uid="{E8A61B3C-A47C-44A3-9FFC-CB9973566CF4}" name="行"/>
    <tableColumn id="2" xr3:uid="{63A2C6AE-42C7-4A0D-8C33-2C798F006BB7}" name="日付"/>
    <tableColumn id="3" xr3:uid="{135009DF-7CF5-4317-B7F8-5B2CC897F007}" name="購入先"/>
    <tableColumn id="4" xr3:uid="{640BDCF2-83E9-4D66-92A6-7C3F7A2FFD89}" name="種別"/>
    <tableColumn id="5" xr3:uid="{5F4C8E82-30BF-4146-A2AA-AA4DBC3B99BA}" name="品名"/>
    <tableColumn id="6" xr3:uid="{4E093376-F48B-4DE7-9820-4388F23A94D7}" name="価格"/>
    <tableColumn id="7" xr3:uid="{C701AA12-8527-4F75-AECE-BD28CF4F6668}" name="送料"/>
    <tableColumn id="8" xr3:uid="{AB3F89F3-5838-417C-BCBA-1EF70A621748}" name="合計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30F55-9FE1-4FC9-85FF-CF1164008A2D}">
  <sheetPr codeName="Sheet3"/>
  <dimension ref="B1:Y3"/>
  <sheetViews>
    <sheetView showGridLines="0" workbookViewId="0">
      <selection activeCell="E7" sqref="E7"/>
    </sheetView>
  </sheetViews>
  <sheetFormatPr defaultColWidth="2.77734375" defaultRowHeight="15.75" x14ac:dyDescent="0.25"/>
  <cols>
    <col min="1" max="16384" width="2.77734375" style="1"/>
  </cols>
  <sheetData>
    <row r="1" spans="2:25" ht="16.5" thickBot="1" x14ac:dyDescent="0.3"/>
    <row r="2" spans="2:25" ht="16.5" thickBot="1" x14ac:dyDescent="0.3">
      <c r="B2" s="14" t="s">
        <v>42</v>
      </c>
      <c r="C2" s="15"/>
      <c r="D2" s="15"/>
      <c r="E2" s="16"/>
      <c r="F2" s="11" t="s">
        <v>50</v>
      </c>
      <c r="G2" s="12"/>
      <c r="H2" s="12"/>
      <c r="I2" s="12"/>
      <c r="J2" s="13"/>
      <c r="K2" s="14" t="s">
        <v>45</v>
      </c>
      <c r="L2" s="15"/>
      <c r="M2" s="15"/>
      <c r="N2" s="16"/>
      <c r="O2" s="11" t="s">
        <v>50</v>
      </c>
      <c r="P2" s="12"/>
      <c r="Q2" s="12"/>
      <c r="R2" s="12"/>
      <c r="S2" s="12"/>
      <c r="T2" s="12"/>
      <c r="U2" s="12"/>
      <c r="V2" s="12"/>
      <c r="W2" s="12"/>
      <c r="X2" s="12"/>
      <c r="Y2" s="13"/>
    </row>
    <row r="3" spans="2:25" ht="16.5" thickBot="1" x14ac:dyDescent="0.3">
      <c r="B3" s="14" t="s">
        <v>43</v>
      </c>
      <c r="C3" s="15"/>
      <c r="D3" s="15"/>
      <c r="E3" s="16"/>
      <c r="F3" s="11" t="s">
        <v>50</v>
      </c>
      <c r="G3" s="12"/>
      <c r="H3" s="12"/>
      <c r="I3" s="12"/>
      <c r="J3" s="13"/>
      <c r="K3" s="14" t="s">
        <v>44</v>
      </c>
      <c r="L3" s="15"/>
      <c r="M3" s="15"/>
      <c r="N3" s="16"/>
      <c r="O3" s="8"/>
      <c r="P3" s="9"/>
      <c r="Q3" s="9"/>
      <c r="R3" s="9"/>
      <c r="S3" s="10"/>
      <c r="T3" s="1" t="s">
        <v>46</v>
      </c>
      <c r="U3" s="8"/>
      <c r="V3" s="9"/>
      <c r="W3" s="9"/>
      <c r="X3" s="9"/>
      <c r="Y3" s="10"/>
    </row>
  </sheetData>
  <mergeCells count="9">
    <mergeCell ref="U3:Y3"/>
    <mergeCell ref="O2:Y2"/>
    <mergeCell ref="F2:J2"/>
    <mergeCell ref="B2:E2"/>
    <mergeCell ref="B3:E3"/>
    <mergeCell ref="F3:J3"/>
    <mergeCell ref="K2:N2"/>
    <mergeCell ref="K3:N3"/>
    <mergeCell ref="O3:S3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2" r:id="rId4" name="Button 2">
              <controlPr defaultSize="0" print="0" autoFill="0" autoPict="0" macro="[0]!マクロ_検索">
                <anchor moveWithCells="1">
                  <from>
                    <xdr:col>0</xdr:col>
                    <xdr:colOff>190500</xdr:colOff>
                    <xdr:row>4</xdr:row>
                    <xdr:rowOff>133350</xdr:rowOff>
                  </from>
                  <to>
                    <xdr:col>4</xdr:col>
                    <xdr:colOff>209550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5" name="Button 3">
              <controlPr defaultSize="0" print="0" autoFill="0" autoPict="0" macro="[0]!マクロ_クリア">
                <anchor moveWithCells="1">
                  <from>
                    <xdr:col>5</xdr:col>
                    <xdr:colOff>104775</xdr:colOff>
                    <xdr:row>4</xdr:row>
                    <xdr:rowOff>133350</xdr:rowOff>
                  </from>
                  <to>
                    <xdr:col>9</xdr:col>
                    <xdr:colOff>123825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6" name="Button 10">
              <controlPr defaultSize="0" print="0" autoFill="0" autoPict="0" macro="[0]!マクロ_更新">
                <anchor moveWithCells="1">
                  <from>
                    <xdr:col>11</xdr:col>
                    <xdr:colOff>76200</xdr:colOff>
                    <xdr:row>4</xdr:row>
                    <xdr:rowOff>104775</xdr:rowOff>
                  </from>
                  <to>
                    <xdr:col>15</xdr:col>
                    <xdr:colOff>95250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31023-410C-48BA-AF83-9875644320C2}">
  <sheetPr codeName="Sheet2"/>
  <dimension ref="A1:D31"/>
  <sheetViews>
    <sheetView zoomScale="115" zoomScaleNormal="115" workbookViewId="0">
      <selection activeCell="A26" sqref="A26"/>
    </sheetView>
  </sheetViews>
  <sheetFormatPr defaultRowHeight="15.75" x14ac:dyDescent="0.25"/>
  <cols>
    <col min="1" max="1" width="36.6640625" bestFit="1" customWidth="1"/>
    <col min="2" max="2" width="18.88671875" bestFit="1" customWidth="1"/>
    <col min="3" max="4" width="11.5546875" bestFit="1" customWidth="1"/>
  </cols>
  <sheetData>
    <row r="1" spans="1:4" x14ac:dyDescent="0.25">
      <c r="A1" s="4" t="s">
        <v>28</v>
      </c>
      <c r="B1" s="17" t="s">
        <v>196</v>
      </c>
      <c r="C1" s="6" t="s">
        <v>197</v>
      </c>
    </row>
    <row r="2" spans="1:4" x14ac:dyDescent="0.25">
      <c r="A2" s="5" t="s">
        <v>207</v>
      </c>
      <c r="B2" s="17"/>
      <c r="C2" s="6"/>
    </row>
    <row r="3" spans="1:4" x14ac:dyDescent="0.25">
      <c r="A3" s="5" t="s">
        <v>32</v>
      </c>
      <c r="B3" s="17"/>
      <c r="C3" s="6"/>
    </row>
    <row r="4" spans="1:4" x14ac:dyDescent="0.25">
      <c r="A4" s="5" t="s">
        <v>33</v>
      </c>
      <c r="B4" s="17"/>
      <c r="C4" s="6"/>
    </row>
    <row r="5" spans="1:4" x14ac:dyDescent="0.25">
      <c r="A5" s="5" t="s">
        <v>34</v>
      </c>
      <c r="B5" s="17"/>
      <c r="C5" s="6"/>
    </row>
    <row r="6" spans="1:4" x14ac:dyDescent="0.25">
      <c r="A6" s="5" t="s">
        <v>35</v>
      </c>
      <c r="B6" s="17"/>
      <c r="C6" s="6"/>
    </row>
    <row r="7" spans="1:4" x14ac:dyDescent="0.25">
      <c r="A7" s="5" t="s">
        <v>36</v>
      </c>
      <c r="B7" s="17"/>
      <c r="C7" s="6"/>
    </row>
    <row r="8" spans="1:4" x14ac:dyDescent="0.25">
      <c r="A8" s="5" t="s">
        <v>49</v>
      </c>
      <c r="B8" s="17"/>
      <c r="C8" s="6"/>
    </row>
    <row r="9" spans="1:4" x14ac:dyDescent="0.25">
      <c r="A9" s="5" t="s">
        <v>39</v>
      </c>
      <c r="B9" s="17"/>
      <c r="C9" s="6"/>
    </row>
    <row r="10" spans="1:4" x14ac:dyDescent="0.25">
      <c r="A10" s="5" t="s">
        <v>29</v>
      </c>
      <c r="B10" s="17"/>
      <c r="C10" s="6"/>
    </row>
    <row r="11" spans="1:4" x14ac:dyDescent="0.25">
      <c r="A11" s="5" t="s">
        <v>37</v>
      </c>
      <c r="B11" s="17"/>
      <c r="C11" s="6"/>
    </row>
    <row r="12" spans="1:4" x14ac:dyDescent="0.25">
      <c r="A12" s="4" t="s">
        <v>30</v>
      </c>
      <c r="B12" s="17"/>
      <c r="C12" s="6"/>
    </row>
    <row r="13" spans="1:4" x14ac:dyDescent="0.25">
      <c r="A13" s="5" t="str">
        <f>"    (Konnyusaki like '"&amp;C13&amp;"%' "&amp;IF(C13="",B13,"") &amp; ")"</f>
        <v xml:space="preserve">    (Konnyusaki like '%' or Konnyusaki is null)</v>
      </c>
      <c r="B13" s="17" t="s">
        <v>193</v>
      </c>
      <c r="C13" s="6" t="str">
        <f>IF(KONYUSAKI&lt;&gt;"", KONYUSAKI, "")</f>
        <v/>
      </c>
      <c r="D13" t="s">
        <v>199</v>
      </c>
    </row>
    <row r="14" spans="1:4" x14ac:dyDescent="0.25">
      <c r="A14" s="5" t="str">
        <f>"    and (Syubetsu like '" &amp; C14 &amp; "%' " &amp; IF(C14="",B14,"") &amp; ")"</f>
        <v xml:space="preserve">    and (Syubetsu like '%' or Syubetsu is null)</v>
      </c>
      <c r="B14" s="17" t="s">
        <v>194</v>
      </c>
      <c r="C14" s="6" t="str">
        <f>IF(SYUBETSU&lt;&gt;"", SYUBETSU, "")</f>
        <v/>
      </c>
      <c r="D14" t="s">
        <v>199</v>
      </c>
    </row>
    <row r="15" spans="1:4" ht="16.5" customHeight="1" x14ac:dyDescent="0.25">
      <c r="A15" s="5" t="str">
        <f>"    and (HINMEI like '%" &amp; C15 &amp; "%' " &amp; IF(C15="",B15,"") &amp; ")"</f>
        <v xml:space="preserve">    and (HINMEI like '%%' or HINMEI is null)</v>
      </c>
      <c r="B15" s="17" t="s">
        <v>195</v>
      </c>
      <c r="C15" s="6" t="str">
        <f>IF(HINMEI&lt;&gt;"", HINMEI, "")</f>
        <v/>
      </c>
      <c r="D15" t="s">
        <v>200</v>
      </c>
    </row>
    <row r="16" spans="1:4" x14ac:dyDescent="0.25">
      <c r="A16" s="5" t="str">
        <f>"    and Hizuke &gt;= NVL(" &amp; C16 &amp; ", '1900/1/1') "</f>
        <v xml:space="preserve">    and Hizuke &gt;= NVL(null, '1900/1/1') </v>
      </c>
      <c r="B16" s="17"/>
      <c r="C16" s="19" t="str">
        <f>IF(DATE_FROM&lt;&gt;"", DATE_FROM, "null")</f>
        <v>null</v>
      </c>
      <c r="D16" t="s">
        <v>201</v>
      </c>
    </row>
    <row r="17" spans="1:4" x14ac:dyDescent="0.25">
      <c r="A17" s="5" t="str">
        <f>"    and Hizuke &lt;= NVL(" &amp; C17 &amp; ", '2900/12/31') "</f>
        <v xml:space="preserve">    and Hizuke &lt;= NVL(null, '2900/12/31') </v>
      </c>
      <c r="B17" s="17"/>
      <c r="C17" s="19" t="str">
        <f>IF(DATE_TO&lt;&gt;"", DATE_TO, "null")</f>
        <v>null</v>
      </c>
    </row>
    <row r="18" spans="1:4" x14ac:dyDescent="0.25">
      <c r="A18" s="4" t="s">
        <v>31</v>
      </c>
      <c r="B18" s="17"/>
      <c r="C18" s="6"/>
      <c r="D18" t="s">
        <v>202</v>
      </c>
    </row>
    <row r="19" spans="1:4" x14ac:dyDescent="0.25">
      <c r="A19" s="5" t="s">
        <v>38</v>
      </c>
      <c r="B19" s="17"/>
      <c r="C19" s="6"/>
    </row>
    <row r="20" spans="1:4" x14ac:dyDescent="0.25">
      <c r="A20" t="s">
        <v>198</v>
      </c>
    </row>
    <row r="21" spans="1:4" x14ac:dyDescent="0.25">
      <c r="A21" s="4" t="s">
        <v>28</v>
      </c>
      <c r="B21" s="17"/>
      <c r="C21" s="6"/>
    </row>
    <row r="22" spans="1:4" x14ac:dyDescent="0.25">
      <c r="A22" s="5" t="s">
        <v>41</v>
      </c>
      <c r="B22" s="17"/>
      <c r="C22" s="6"/>
    </row>
    <row r="23" spans="1:4" x14ac:dyDescent="0.25">
      <c r="A23" s="5" t="s">
        <v>33</v>
      </c>
      <c r="B23" s="17"/>
      <c r="C23" s="6"/>
    </row>
    <row r="24" spans="1:4" x14ac:dyDescent="0.25">
      <c r="A24" s="5" t="s">
        <v>48</v>
      </c>
      <c r="B24" s="17"/>
      <c r="C24" s="6"/>
    </row>
    <row r="25" spans="1:4" x14ac:dyDescent="0.25">
      <c r="A25" s="4" t="s">
        <v>29</v>
      </c>
      <c r="B25" s="17"/>
      <c r="C25" s="6"/>
    </row>
    <row r="26" spans="1:4" x14ac:dyDescent="0.25">
      <c r="A26" s="5" t="s">
        <v>37</v>
      </c>
      <c r="B26" s="17"/>
      <c r="C26" s="6"/>
    </row>
    <row r="27" spans="1:4" x14ac:dyDescent="0.25">
      <c r="A27" s="4" t="s">
        <v>30</v>
      </c>
      <c r="B27" s="17"/>
      <c r="C27" s="6"/>
    </row>
    <row r="28" spans="1:4" x14ac:dyDescent="0.25">
      <c r="A28" s="5" t="s">
        <v>47</v>
      </c>
      <c r="B28" s="17"/>
      <c r="C28" s="6"/>
    </row>
    <row r="29" spans="1:4" x14ac:dyDescent="0.25">
      <c r="A29" s="5" t="str">
        <f>"    and Syubetsu like '" &amp; C29 &amp; "%' "</f>
        <v xml:space="preserve">    and Syubetsu like 'AG%' </v>
      </c>
      <c r="B29" s="17"/>
      <c r="C29" s="6" t="s">
        <v>69</v>
      </c>
    </row>
    <row r="30" spans="1:4" x14ac:dyDescent="0.25">
      <c r="A30" s="4" t="s">
        <v>31</v>
      </c>
      <c r="B30" s="17"/>
      <c r="C30" s="6"/>
    </row>
    <row r="31" spans="1:4" x14ac:dyDescent="0.25">
      <c r="A31" s="5" t="s">
        <v>38</v>
      </c>
      <c r="B31" s="17"/>
      <c r="C31" s="6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529C7-9FEF-4757-9F5B-17DA5B3A8F0E}">
  <sheetPr codeName="Sheet7"/>
  <dimension ref="A1:B8"/>
  <sheetViews>
    <sheetView workbookViewId="0">
      <selection activeCell="B18" sqref="B18"/>
    </sheetView>
  </sheetViews>
  <sheetFormatPr defaultRowHeight="15.75" x14ac:dyDescent="0.25"/>
  <cols>
    <col min="1" max="1" width="13.6640625" style="1" customWidth="1"/>
    <col min="2" max="2" width="8.88671875" style="1"/>
  </cols>
  <sheetData>
    <row r="1" spans="1:2" x14ac:dyDescent="0.25">
      <c r="A1" s="3" t="s">
        <v>18</v>
      </c>
      <c r="B1" s="3" t="s">
        <v>21</v>
      </c>
    </row>
    <row r="2" spans="1:2" x14ac:dyDescent="0.25">
      <c r="A2" s="2" t="s">
        <v>2</v>
      </c>
      <c r="B2" s="2" t="s">
        <v>22</v>
      </c>
    </row>
    <row r="3" spans="1:2" x14ac:dyDescent="0.25">
      <c r="A3" s="2" t="s">
        <v>15</v>
      </c>
      <c r="B3" s="2" t="s">
        <v>23</v>
      </c>
    </row>
    <row r="4" spans="1:2" x14ac:dyDescent="0.25">
      <c r="A4" s="2" t="s">
        <v>6</v>
      </c>
      <c r="B4" s="2" t="s">
        <v>24</v>
      </c>
    </row>
    <row r="5" spans="1:2" x14ac:dyDescent="0.25">
      <c r="A5" s="2" t="s">
        <v>14</v>
      </c>
      <c r="B5" s="2" t="s">
        <v>25</v>
      </c>
    </row>
    <row r="6" spans="1:2" x14ac:dyDescent="0.25">
      <c r="A6" s="2" t="s">
        <v>0</v>
      </c>
      <c r="B6" s="2" t="s">
        <v>26</v>
      </c>
    </row>
    <row r="7" spans="1:2" x14ac:dyDescent="0.25">
      <c r="A7" s="2" t="s">
        <v>1</v>
      </c>
      <c r="B7" s="2" t="s">
        <v>27</v>
      </c>
    </row>
    <row r="8" spans="1:2" x14ac:dyDescent="0.25">
      <c r="A8" s="2" t="s">
        <v>204</v>
      </c>
      <c r="B8" s="2" t="s">
        <v>203</v>
      </c>
    </row>
  </sheetData>
  <autoFilter ref="A1:A7" xr:uid="{D11529C7-9FEF-4757-9F5B-17DA5B3A8F0E}">
    <sortState xmlns:xlrd2="http://schemas.microsoft.com/office/spreadsheetml/2017/richdata2" ref="A2:A7">
      <sortCondition ref="A1:A7"/>
    </sortState>
  </autoFilter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C4C33-A6D3-4BB5-A4E2-0022D913440C}">
  <sheetPr codeName="Sheet5"/>
  <dimension ref="A2:H142"/>
  <sheetViews>
    <sheetView showGridLines="0" workbookViewId="0">
      <pane ySplit="2" topLeftCell="A119" activePane="bottomLeft" state="frozen"/>
      <selection pane="bottomLeft" activeCell="B142" sqref="B142"/>
    </sheetView>
  </sheetViews>
  <sheetFormatPr defaultRowHeight="15.75" x14ac:dyDescent="0.25"/>
  <cols>
    <col min="1" max="1" width="4.5546875" bestFit="1" customWidth="1"/>
    <col min="2" max="2" width="11.21875" bestFit="1" customWidth="1"/>
    <col min="3" max="3" width="8.109375" bestFit="1" customWidth="1"/>
    <col min="4" max="4" width="8.6640625" bestFit="1" customWidth="1"/>
    <col min="5" max="5" width="40.77734375" customWidth="1"/>
    <col min="6" max="6" width="7.109375" bestFit="1" customWidth="1"/>
    <col min="7" max="7" width="6.109375" bestFit="1" customWidth="1"/>
    <col min="8" max="8" width="7.109375" bestFit="1" customWidth="1"/>
  </cols>
  <sheetData>
    <row r="2" spans="1:8" x14ac:dyDescent="0.25">
      <c r="A2" t="s">
        <v>51</v>
      </c>
      <c r="B2" t="s">
        <v>52</v>
      </c>
      <c r="C2" t="s">
        <v>18</v>
      </c>
      <c r="D2" t="s">
        <v>19</v>
      </c>
      <c r="E2" t="s">
        <v>20</v>
      </c>
      <c r="F2" t="s">
        <v>53</v>
      </c>
      <c r="G2" t="s">
        <v>54</v>
      </c>
      <c r="H2" t="s">
        <v>55</v>
      </c>
    </row>
    <row r="3" spans="1:8" x14ac:dyDescent="0.25">
      <c r="B3" s="7">
        <v>44981</v>
      </c>
      <c r="C3" t="s">
        <v>0</v>
      </c>
      <c r="D3" t="s">
        <v>56</v>
      </c>
      <c r="E3" t="s">
        <v>205</v>
      </c>
      <c r="F3">
        <v>4600</v>
      </c>
      <c r="G3">
        <v>1000</v>
      </c>
      <c r="H3">
        <v>5600</v>
      </c>
    </row>
    <row r="4" spans="1:8" x14ac:dyDescent="0.25">
      <c r="B4" s="7">
        <v>44977</v>
      </c>
      <c r="C4" t="s">
        <v>0</v>
      </c>
      <c r="D4" t="s">
        <v>3</v>
      </c>
      <c r="E4" t="s">
        <v>40</v>
      </c>
      <c r="F4">
        <v>1780</v>
      </c>
      <c r="G4">
        <v>510</v>
      </c>
      <c r="H4">
        <v>2131</v>
      </c>
    </row>
    <row r="5" spans="1:8" x14ac:dyDescent="0.25">
      <c r="B5" s="7">
        <v>44918</v>
      </c>
      <c r="C5" t="s">
        <v>2</v>
      </c>
      <c r="D5" t="s">
        <v>58</v>
      </c>
      <c r="E5" t="s">
        <v>59</v>
      </c>
      <c r="F5">
        <v>5973</v>
      </c>
      <c r="G5">
        <v>0</v>
      </c>
      <c r="H5">
        <v>5973</v>
      </c>
    </row>
    <row r="6" spans="1:8" x14ac:dyDescent="0.25">
      <c r="B6" s="7">
        <v>44907</v>
      </c>
      <c r="C6" t="s">
        <v>0</v>
      </c>
      <c r="D6" t="s">
        <v>3</v>
      </c>
      <c r="E6" t="s">
        <v>4</v>
      </c>
      <c r="F6">
        <v>8400</v>
      </c>
      <c r="G6">
        <v>1219</v>
      </c>
      <c r="H6">
        <v>9199</v>
      </c>
    </row>
    <row r="7" spans="1:8" x14ac:dyDescent="0.25">
      <c r="B7" s="7">
        <v>44906</v>
      </c>
      <c r="C7" t="s">
        <v>0</v>
      </c>
      <c r="D7" t="s">
        <v>3</v>
      </c>
      <c r="E7" t="s">
        <v>5</v>
      </c>
      <c r="F7">
        <v>1300</v>
      </c>
      <c r="G7">
        <v>510</v>
      </c>
      <c r="H7">
        <v>1610</v>
      </c>
    </row>
    <row r="8" spans="1:8" x14ac:dyDescent="0.25">
      <c r="B8" s="7">
        <v>44895</v>
      </c>
      <c r="C8" t="s">
        <v>6</v>
      </c>
      <c r="D8" t="s">
        <v>60</v>
      </c>
      <c r="E8" t="s">
        <v>61</v>
      </c>
      <c r="F8">
        <v>1106</v>
      </c>
      <c r="G8">
        <v>0</v>
      </c>
      <c r="H8">
        <v>1106</v>
      </c>
    </row>
    <row r="9" spans="1:8" x14ac:dyDescent="0.25">
      <c r="B9" s="7">
        <v>44891</v>
      </c>
      <c r="C9" t="s">
        <v>0</v>
      </c>
      <c r="D9" t="s">
        <v>60</v>
      </c>
      <c r="E9" t="s">
        <v>62</v>
      </c>
      <c r="F9">
        <v>810</v>
      </c>
      <c r="G9">
        <v>0</v>
      </c>
      <c r="H9">
        <v>810</v>
      </c>
    </row>
    <row r="10" spans="1:8" x14ac:dyDescent="0.25">
      <c r="B10" s="7">
        <v>44885</v>
      </c>
      <c r="C10" t="s">
        <v>0</v>
      </c>
      <c r="D10" t="s">
        <v>63</v>
      </c>
      <c r="E10" t="s">
        <v>64</v>
      </c>
      <c r="F10">
        <v>3600</v>
      </c>
      <c r="G10">
        <v>800</v>
      </c>
      <c r="H10">
        <v>4400</v>
      </c>
    </row>
    <row r="11" spans="1:8" x14ac:dyDescent="0.25">
      <c r="B11" s="7">
        <v>44880</v>
      </c>
      <c r="C11" t="s">
        <v>1</v>
      </c>
      <c r="D11" t="s">
        <v>63</v>
      </c>
      <c r="E11" t="s">
        <v>65</v>
      </c>
      <c r="F11">
        <v>4171</v>
      </c>
      <c r="G11">
        <v>240</v>
      </c>
      <c r="H11">
        <v>4411</v>
      </c>
    </row>
    <row r="12" spans="1:8" x14ac:dyDescent="0.25">
      <c r="B12" s="7">
        <v>44870</v>
      </c>
      <c r="C12" t="s">
        <v>0</v>
      </c>
      <c r="D12" t="s">
        <v>56</v>
      </c>
      <c r="E12" t="s">
        <v>66</v>
      </c>
      <c r="F12">
        <v>2300</v>
      </c>
      <c r="G12">
        <v>1450</v>
      </c>
      <c r="H12">
        <v>3750</v>
      </c>
    </row>
    <row r="13" spans="1:8" x14ac:dyDescent="0.25">
      <c r="B13" s="7">
        <v>44850</v>
      </c>
      <c r="C13" t="s">
        <v>1</v>
      </c>
      <c r="D13" t="s">
        <v>67</v>
      </c>
      <c r="E13" t="s">
        <v>68</v>
      </c>
      <c r="F13">
        <v>5236</v>
      </c>
      <c r="G13">
        <v>0</v>
      </c>
      <c r="H13">
        <v>5236</v>
      </c>
    </row>
    <row r="14" spans="1:8" x14ac:dyDescent="0.25">
      <c r="B14" s="7">
        <v>44848</v>
      </c>
      <c r="C14" t="s">
        <v>0</v>
      </c>
      <c r="D14" t="s">
        <v>69</v>
      </c>
      <c r="E14" t="s">
        <v>70</v>
      </c>
      <c r="F14">
        <v>3300</v>
      </c>
      <c r="G14">
        <v>1100</v>
      </c>
      <c r="H14">
        <v>4400</v>
      </c>
    </row>
    <row r="15" spans="1:8" x14ac:dyDescent="0.25">
      <c r="B15" s="7">
        <v>44847</v>
      </c>
      <c r="C15" t="s">
        <v>2</v>
      </c>
      <c r="D15" t="s">
        <v>3</v>
      </c>
      <c r="E15" t="s">
        <v>8</v>
      </c>
      <c r="F15">
        <v>3180</v>
      </c>
      <c r="G15">
        <v>0</v>
      </c>
      <c r="H15">
        <v>3180</v>
      </c>
    </row>
    <row r="16" spans="1:8" x14ac:dyDescent="0.25">
      <c r="B16" s="7">
        <v>44847</v>
      </c>
      <c r="C16" t="s">
        <v>2</v>
      </c>
      <c r="D16" t="s">
        <v>3</v>
      </c>
      <c r="E16" t="s">
        <v>7</v>
      </c>
      <c r="F16">
        <v>2180</v>
      </c>
      <c r="G16">
        <v>0</v>
      </c>
      <c r="H16">
        <v>2180</v>
      </c>
    </row>
    <row r="17" spans="2:8" x14ac:dyDescent="0.25">
      <c r="B17" s="7">
        <v>44847</v>
      </c>
      <c r="C17" t="s">
        <v>2</v>
      </c>
      <c r="D17" t="s">
        <v>3</v>
      </c>
      <c r="E17" t="s">
        <v>9</v>
      </c>
      <c r="F17">
        <v>3200</v>
      </c>
      <c r="G17">
        <v>0</v>
      </c>
      <c r="H17">
        <v>3200</v>
      </c>
    </row>
    <row r="18" spans="2:8" x14ac:dyDescent="0.25">
      <c r="B18" s="7">
        <v>44846</v>
      </c>
      <c r="C18" t="s">
        <v>2</v>
      </c>
      <c r="D18" t="s">
        <v>3</v>
      </c>
      <c r="E18" t="s">
        <v>11</v>
      </c>
      <c r="F18">
        <v>2165</v>
      </c>
      <c r="G18">
        <v>0</v>
      </c>
      <c r="H18">
        <v>2165</v>
      </c>
    </row>
    <row r="19" spans="2:8" x14ac:dyDescent="0.25">
      <c r="B19" s="7">
        <v>44846</v>
      </c>
      <c r="C19" t="s">
        <v>2</v>
      </c>
      <c r="D19" t="s">
        <v>3</v>
      </c>
      <c r="E19" t="s">
        <v>12</v>
      </c>
      <c r="F19">
        <v>3643</v>
      </c>
      <c r="G19">
        <v>0</v>
      </c>
      <c r="H19">
        <v>3643</v>
      </c>
    </row>
    <row r="20" spans="2:8" x14ac:dyDescent="0.25">
      <c r="B20" s="7">
        <v>44846</v>
      </c>
      <c r="C20" t="s">
        <v>2</v>
      </c>
      <c r="D20" t="s">
        <v>3</v>
      </c>
      <c r="E20" t="s">
        <v>13</v>
      </c>
      <c r="F20">
        <v>3080</v>
      </c>
      <c r="G20">
        <v>0</v>
      </c>
      <c r="H20">
        <v>3080</v>
      </c>
    </row>
    <row r="21" spans="2:8" x14ac:dyDescent="0.25">
      <c r="B21" s="7">
        <v>44846</v>
      </c>
      <c r="C21" t="s">
        <v>2</v>
      </c>
      <c r="D21" t="s">
        <v>3</v>
      </c>
      <c r="E21" t="s">
        <v>10</v>
      </c>
      <c r="F21">
        <v>2945</v>
      </c>
      <c r="G21">
        <v>0</v>
      </c>
      <c r="H21">
        <v>2945</v>
      </c>
    </row>
    <row r="22" spans="2:8" x14ac:dyDescent="0.25">
      <c r="B22" s="7">
        <v>44842</v>
      </c>
      <c r="C22" t="s">
        <v>2</v>
      </c>
      <c r="D22" t="s">
        <v>67</v>
      </c>
      <c r="E22" t="s">
        <v>71</v>
      </c>
      <c r="F22">
        <v>2020</v>
      </c>
      <c r="G22">
        <v>0</v>
      </c>
      <c r="H22">
        <v>2020</v>
      </c>
    </row>
    <row r="23" spans="2:8" x14ac:dyDescent="0.25">
      <c r="B23" s="7">
        <v>44836</v>
      </c>
      <c r="C23" t="s">
        <v>0</v>
      </c>
      <c r="D23" t="s">
        <v>67</v>
      </c>
      <c r="E23" t="s">
        <v>72</v>
      </c>
      <c r="F23">
        <v>1551</v>
      </c>
      <c r="G23">
        <v>710</v>
      </c>
      <c r="H23">
        <v>2261</v>
      </c>
    </row>
    <row r="24" spans="2:8" x14ac:dyDescent="0.25">
      <c r="B24" s="7">
        <v>44836</v>
      </c>
      <c r="C24" t="s">
        <v>0</v>
      </c>
      <c r="D24" t="s">
        <v>67</v>
      </c>
      <c r="E24" t="s">
        <v>73</v>
      </c>
      <c r="F24">
        <v>1980</v>
      </c>
      <c r="G24">
        <v>350</v>
      </c>
      <c r="H24">
        <v>2330</v>
      </c>
    </row>
    <row r="25" spans="2:8" x14ac:dyDescent="0.25">
      <c r="B25" s="7">
        <v>44835</v>
      </c>
      <c r="C25" t="s">
        <v>0</v>
      </c>
      <c r="D25" t="s">
        <v>63</v>
      </c>
      <c r="E25" t="s">
        <v>74</v>
      </c>
      <c r="F25">
        <v>4081</v>
      </c>
      <c r="G25">
        <v>1219</v>
      </c>
      <c r="H25">
        <v>5300</v>
      </c>
    </row>
    <row r="26" spans="2:8" x14ac:dyDescent="0.25">
      <c r="B26" s="7">
        <v>44834</v>
      </c>
      <c r="C26" t="s">
        <v>1</v>
      </c>
      <c r="D26" t="s">
        <v>63</v>
      </c>
      <c r="E26" t="s">
        <v>75</v>
      </c>
      <c r="F26">
        <v>3696</v>
      </c>
      <c r="G26">
        <v>220</v>
      </c>
      <c r="H26">
        <v>3916</v>
      </c>
    </row>
    <row r="27" spans="2:8" x14ac:dyDescent="0.25">
      <c r="B27" s="7">
        <v>44825</v>
      </c>
      <c r="C27" t="s">
        <v>14</v>
      </c>
      <c r="D27" t="s">
        <v>69</v>
      </c>
      <c r="E27" t="s">
        <v>76</v>
      </c>
      <c r="F27">
        <v>799</v>
      </c>
      <c r="G27">
        <v>0</v>
      </c>
      <c r="H27">
        <v>799</v>
      </c>
    </row>
    <row r="28" spans="2:8" x14ac:dyDescent="0.25">
      <c r="B28" s="7">
        <v>44821</v>
      </c>
      <c r="C28" t="s">
        <v>15</v>
      </c>
      <c r="D28" t="s">
        <v>77</v>
      </c>
      <c r="E28" t="s">
        <v>78</v>
      </c>
      <c r="F28">
        <v>8580</v>
      </c>
      <c r="G28">
        <v>0</v>
      </c>
      <c r="H28">
        <v>8580</v>
      </c>
    </row>
    <row r="29" spans="2:8" x14ac:dyDescent="0.25">
      <c r="B29" s="7">
        <v>44811</v>
      </c>
      <c r="C29" t="s">
        <v>2</v>
      </c>
      <c r="D29" t="s">
        <v>79</v>
      </c>
      <c r="E29" t="s">
        <v>80</v>
      </c>
      <c r="F29">
        <v>3680</v>
      </c>
      <c r="G29">
        <v>0</v>
      </c>
      <c r="H29">
        <v>3680</v>
      </c>
    </row>
    <row r="30" spans="2:8" x14ac:dyDescent="0.25">
      <c r="B30" s="7">
        <v>44811</v>
      </c>
      <c r="C30" t="s">
        <v>2</v>
      </c>
      <c r="D30" t="s">
        <v>81</v>
      </c>
      <c r="E30" t="s">
        <v>82</v>
      </c>
      <c r="F30">
        <v>6280</v>
      </c>
      <c r="G30">
        <v>0</v>
      </c>
      <c r="H30">
        <v>6280</v>
      </c>
    </row>
    <row r="31" spans="2:8" x14ac:dyDescent="0.25">
      <c r="B31" s="7">
        <v>44801</v>
      </c>
      <c r="C31" t="s">
        <v>2</v>
      </c>
      <c r="D31" t="s">
        <v>60</v>
      </c>
      <c r="E31" t="s">
        <v>83</v>
      </c>
      <c r="F31">
        <v>680</v>
      </c>
      <c r="G31">
        <v>0</v>
      </c>
      <c r="H31">
        <v>680</v>
      </c>
    </row>
    <row r="32" spans="2:8" x14ac:dyDescent="0.25">
      <c r="B32" s="7">
        <v>44791</v>
      </c>
      <c r="C32" t="s">
        <v>2</v>
      </c>
      <c r="D32" t="s">
        <v>60</v>
      </c>
      <c r="E32" t="s">
        <v>84</v>
      </c>
      <c r="F32">
        <v>7900</v>
      </c>
      <c r="G32">
        <v>990</v>
      </c>
      <c r="H32">
        <v>8890</v>
      </c>
    </row>
    <row r="33" spans="2:8" x14ac:dyDescent="0.25">
      <c r="B33" s="7">
        <v>44791</v>
      </c>
      <c r="C33" t="s">
        <v>2</v>
      </c>
      <c r="D33" t="s">
        <v>60</v>
      </c>
      <c r="E33" t="s">
        <v>85</v>
      </c>
      <c r="F33">
        <v>1888</v>
      </c>
      <c r="G33">
        <v>0</v>
      </c>
      <c r="H33">
        <v>1888</v>
      </c>
    </row>
    <row r="34" spans="2:8" x14ac:dyDescent="0.25">
      <c r="B34" s="7">
        <v>44789</v>
      </c>
      <c r="C34" t="s">
        <v>14</v>
      </c>
      <c r="D34" t="s">
        <v>69</v>
      </c>
      <c r="E34" t="s">
        <v>86</v>
      </c>
      <c r="F34">
        <v>5000</v>
      </c>
      <c r="G34">
        <v>0</v>
      </c>
      <c r="H34">
        <v>5000</v>
      </c>
    </row>
    <row r="35" spans="2:8" x14ac:dyDescent="0.25">
      <c r="B35" s="7">
        <v>44764</v>
      </c>
      <c r="C35" t="s">
        <v>0</v>
      </c>
      <c r="D35" t="s">
        <v>69</v>
      </c>
      <c r="E35" t="s">
        <v>87</v>
      </c>
      <c r="F35">
        <v>3000</v>
      </c>
      <c r="G35">
        <v>520</v>
      </c>
      <c r="H35">
        <v>3520</v>
      </c>
    </row>
    <row r="36" spans="2:8" x14ac:dyDescent="0.25">
      <c r="B36" s="7">
        <v>44759</v>
      </c>
      <c r="C36" t="s">
        <v>2</v>
      </c>
      <c r="D36" t="s">
        <v>67</v>
      </c>
      <c r="E36" t="s">
        <v>88</v>
      </c>
      <c r="F36">
        <v>3280</v>
      </c>
      <c r="G36">
        <v>0</v>
      </c>
      <c r="H36">
        <v>3280</v>
      </c>
    </row>
    <row r="37" spans="2:8" x14ac:dyDescent="0.25">
      <c r="B37" s="7">
        <v>44733</v>
      </c>
      <c r="C37" t="s">
        <v>2</v>
      </c>
      <c r="D37" t="s">
        <v>79</v>
      </c>
      <c r="E37" t="s">
        <v>89</v>
      </c>
      <c r="F37">
        <v>2100</v>
      </c>
      <c r="G37">
        <v>0</v>
      </c>
      <c r="H37">
        <v>2100</v>
      </c>
    </row>
    <row r="38" spans="2:8" x14ac:dyDescent="0.25">
      <c r="B38" s="7">
        <v>44733</v>
      </c>
      <c r="C38" t="s">
        <v>2</v>
      </c>
      <c r="D38" t="s">
        <v>79</v>
      </c>
      <c r="E38" t="s">
        <v>90</v>
      </c>
      <c r="F38">
        <v>1983</v>
      </c>
      <c r="G38">
        <v>0</v>
      </c>
      <c r="H38">
        <v>1983</v>
      </c>
    </row>
    <row r="39" spans="2:8" x14ac:dyDescent="0.25">
      <c r="B39" s="7">
        <v>44733</v>
      </c>
      <c r="C39" t="s">
        <v>2</v>
      </c>
      <c r="D39" t="s">
        <v>79</v>
      </c>
      <c r="E39" t="s">
        <v>91</v>
      </c>
      <c r="F39">
        <v>1191</v>
      </c>
      <c r="G39">
        <v>0</v>
      </c>
      <c r="H39">
        <v>1191</v>
      </c>
    </row>
    <row r="40" spans="2:8" x14ac:dyDescent="0.25">
      <c r="B40" s="7">
        <v>44723</v>
      </c>
      <c r="C40" t="s">
        <v>0</v>
      </c>
      <c r="D40" t="s">
        <v>63</v>
      </c>
      <c r="E40" t="s">
        <v>92</v>
      </c>
      <c r="F40">
        <v>1300</v>
      </c>
      <c r="G40">
        <v>444</v>
      </c>
      <c r="H40">
        <v>1744</v>
      </c>
    </row>
    <row r="41" spans="2:8" x14ac:dyDescent="0.25">
      <c r="B41" s="7">
        <v>44709</v>
      </c>
      <c r="C41" t="s">
        <v>0</v>
      </c>
      <c r="D41" t="s">
        <v>63</v>
      </c>
      <c r="E41" t="s">
        <v>93</v>
      </c>
      <c r="F41">
        <v>2000</v>
      </c>
      <c r="G41">
        <v>873</v>
      </c>
      <c r="H41">
        <v>2873</v>
      </c>
    </row>
    <row r="42" spans="2:8" x14ac:dyDescent="0.25">
      <c r="B42" s="7">
        <v>44705</v>
      </c>
      <c r="C42" t="s">
        <v>1</v>
      </c>
      <c r="D42" t="s">
        <v>63</v>
      </c>
      <c r="E42" t="s">
        <v>94</v>
      </c>
      <c r="F42">
        <v>8217</v>
      </c>
      <c r="G42">
        <v>0</v>
      </c>
      <c r="H42">
        <v>8217</v>
      </c>
    </row>
    <row r="43" spans="2:8" x14ac:dyDescent="0.25">
      <c r="B43" s="7">
        <v>44667</v>
      </c>
      <c r="C43" t="s">
        <v>0</v>
      </c>
      <c r="D43" t="s">
        <v>69</v>
      </c>
      <c r="E43" t="s">
        <v>95</v>
      </c>
      <c r="F43">
        <v>3380</v>
      </c>
      <c r="G43">
        <v>0</v>
      </c>
      <c r="H43">
        <v>3380</v>
      </c>
    </row>
    <row r="44" spans="2:8" x14ac:dyDescent="0.25">
      <c r="B44" s="7">
        <v>44667</v>
      </c>
      <c r="C44" t="s">
        <v>0</v>
      </c>
      <c r="D44" t="s">
        <v>69</v>
      </c>
      <c r="E44" t="s">
        <v>96</v>
      </c>
      <c r="F44">
        <v>3000</v>
      </c>
      <c r="G44">
        <v>700</v>
      </c>
      <c r="H44">
        <v>3700</v>
      </c>
    </row>
    <row r="45" spans="2:8" x14ac:dyDescent="0.25">
      <c r="B45" s="7">
        <v>44633</v>
      </c>
      <c r="C45" t="s">
        <v>0</v>
      </c>
      <c r="D45" t="s">
        <v>97</v>
      </c>
      <c r="E45" t="s">
        <v>98</v>
      </c>
      <c r="F45">
        <v>1800</v>
      </c>
      <c r="G45">
        <v>765</v>
      </c>
      <c r="H45">
        <v>2565</v>
      </c>
    </row>
    <row r="46" spans="2:8" x14ac:dyDescent="0.25">
      <c r="B46" s="7">
        <v>44633</v>
      </c>
      <c r="C46" t="s">
        <v>0</v>
      </c>
      <c r="D46" t="s">
        <v>63</v>
      </c>
      <c r="E46" t="s">
        <v>99</v>
      </c>
      <c r="F46">
        <v>2300</v>
      </c>
      <c r="G46">
        <v>870</v>
      </c>
      <c r="H46">
        <v>3170</v>
      </c>
    </row>
    <row r="47" spans="2:8" x14ac:dyDescent="0.25">
      <c r="B47" s="7">
        <v>44632</v>
      </c>
      <c r="C47" t="s">
        <v>0</v>
      </c>
      <c r="D47" t="s">
        <v>97</v>
      </c>
      <c r="E47" t="s">
        <v>100</v>
      </c>
      <c r="F47">
        <v>5800</v>
      </c>
      <c r="G47">
        <v>981</v>
      </c>
      <c r="H47">
        <v>6781</v>
      </c>
    </row>
    <row r="48" spans="2:8" x14ac:dyDescent="0.25">
      <c r="B48" s="7">
        <v>44632</v>
      </c>
      <c r="C48" t="s">
        <v>14</v>
      </c>
      <c r="D48" t="s">
        <v>101</v>
      </c>
      <c r="E48" t="s">
        <v>102</v>
      </c>
      <c r="F48">
        <v>3240</v>
      </c>
      <c r="G48">
        <v>0</v>
      </c>
      <c r="H48">
        <v>3240</v>
      </c>
    </row>
    <row r="49" spans="2:8" x14ac:dyDescent="0.25">
      <c r="B49" s="7">
        <v>44630</v>
      </c>
      <c r="C49" t="s">
        <v>0</v>
      </c>
      <c r="D49" t="s">
        <v>69</v>
      </c>
      <c r="E49" t="s">
        <v>103</v>
      </c>
      <c r="F49">
        <v>2739</v>
      </c>
      <c r="G49">
        <v>1210</v>
      </c>
      <c r="H49">
        <v>3949</v>
      </c>
    </row>
    <row r="50" spans="2:8" x14ac:dyDescent="0.25">
      <c r="B50" s="7">
        <v>44630</v>
      </c>
      <c r="C50" t="s">
        <v>0</v>
      </c>
      <c r="D50" t="s">
        <v>97</v>
      </c>
      <c r="E50" t="s">
        <v>104</v>
      </c>
      <c r="F50">
        <v>750</v>
      </c>
      <c r="G50">
        <v>510</v>
      </c>
      <c r="H50">
        <v>1260</v>
      </c>
    </row>
    <row r="51" spans="2:8" x14ac:dyDescent="0.25">
      <c r="B51" s="7">
        <v>44627</v>
      </c>
      <c r="C51" t="s">
        <v>14</v>
      </c>
      <c r="D51" t="s">
        <v>69</v>
      </c>
      <c r="E51" t="s">
        <v>105</v>
      </c>
      <c r="F51">
        <v>499</v>
      </c>
      <c r="G51">
        <v>0</v>
      </c>
      <c r="H51">
        <v>499</v>
      </c>
    </row>
    <row r="52" spans="2:8" x14ac:dyDescent="0.25">
      <c r="B52" s="7">
        <v>44625</v>
      </c>
      <c r="C52" t="s">
        <v>0</v>
      </c>
      <c r="D52" t="s">
        <v>97</v>
      </c>
      <c r="E52" t="s">
        <v>106</v>
      </c>
      <c r="F52">
        <v>3500</v>
      </c>
      <c r="G52">
        <v>680</v>
      </c>
      <c r="H52">
        <v>4180</v>
      </c>
    </row>
    <row r="53" spans="2:8" x14ac:dyDescent="0.25">
      <c r="B53" s="7">
        <v>44619</v>
      </c>
      <c r="C53" t="s">
        <v>0</v>
      </c>
      <c r="D53" t="s">
        <v>97</v>
      </c>
      <c r="E53" t="s">
        <v>107</v>
      </c>
      <c r="F53">
        <v>1000</v>
      </c>
      <c r="G53">
        <v>765</v>
      </c>
      <c r="H53">
        <v>1765</v>
      </c>
    </row>
    <row r="54" spans="2:8" x14ac:dyDescent="0.25">
      <c r="B54" s="7">
        <v>44573</v>
      </c>
      <c r="C54" t="s">
        <v>0</v>
      </c>
      <c r="D54" t="s">
        <v>97</v>
      </c>
      <c r="E54" t="s">
        <v>108</v>
      </c>
      <c r="F54">
        <v>810</v>
      </c>
      <c r="G54">
        <v>220</v>
      </c>
      <c r="H54">
        <v>1030</v>
      </c>
    </row>
    <row r="55" spans="2:8" x14ac:dyDescent="0.25">
      <c r="B55" s="7">
        <v>44571</v>
      </c>
      <c r="C55" t="s">
        <v>0</v>
      </c>
      <c r="D55" t="s">
        <v>63</v>
      </c>
      <c r="E55" t="s">
        <v>109</v>
      </c>
      <c r="F55">
        <v>2900</v>
      </c>
      <c r="G55">
        <v>930</v>
      </c>
      <c r="H55">
        <v>3830</v>
      </c>
    </row>
    <row r="56" spans="2:8" x14ac:dyDescent="0.25">
      <c r="B56" s="7">
        <v>44565</v>
      </c>
      <c r="C56" t="s">
        <v>0</v>
      </c>
      <c r="D56" t="s">
        <v>97</v>
      </c>
      <c r="E56" t="s">
        <v>110</v>
      </c>
      <c r="F56">
        <v>1306</v>
      </c>
      <c r="G56">
        <v>520</v>
      </c>
      <c r="H56">
        <v>1826</v>
      </c>
    </row>
    <row r="57" spans="2:8" x14ac:dyDescent="0.25">
      <c r="B57" s="7">
        <v>44557</v>
      </c>
      <c r="C57" t="s">
        <v>0</v>
      </c>
      <c r="D57" t="s">
        <v>97</v>
      </c>
      <c r="E57" t="s">
        <v>111</v>
      </c>
      <c r="F57">
        <v>800</v>
      </c>
      <c r="G57">
        <v>1200</v>
      </c>
      <c r="H57">
        <v>2000</v>
      </c>
    </row>
    <row r="58" spans="2:8" x14ac:dyDescent="0.25">
      <c r="B58" s="7">
        <v>44555</v>
      </c>
      <c r="C58" t="s">
        <v>0</v>
      </c>
      <c r="D58" t="s">
        <v>69</v>
      </c>
      <c r="E58" t="s">
        <v>112</v>
      </c>
      <c r="F58">
        <v>2000</v>
      </c>
      <c r="G58">
        <v>300</v>
      </c>
      <c r="H58">
        <v>2300</v>
      </c>
    </row>
    <row r="59" spans="2:8" x14ac:dyDescent="0.25">
      <c r="B59" s="7">
        <v>44548</v>
      </c>
      <c r="C59" t="s">
        <v>0</v>
      </c>
      <c r="D59" t="s">
        <v>97</v>
      </c>
      <c r="E59" t="s">
        <v>113</v>
      </c>
      <c r="F59">
        <v>800</v>
      </c>
      <c r="G59">
        <v>765</v>
      </c>
      <c r="H59">
        <v>1565</v>
      </c>
    </row>
    <row r="60" spans="2:8" x14ac:dyDescent="0.25">
      <c r="B60" s="7">
        <v>44534</v>
      </c>
      <c r="C60" t="s">
        <v>2</v>
      </c>
      <c r="D60" t="s">
        <v>56</v>
      </c>
      <c r="E60" t="s">
        <v>114</v>
      </c>
      <c r="F60">
        <v>3081</v>
      </c>
      <c r="G60">
        <v>0</v>
      </c>
      <c r="H60">
        <v>3081</v>
      </c>
    </row>
    <row r="61" spans="2:8" x14ac:dyDescent="0.25">
      <c r="B61" s="7">
        <v>44532</v>
      </c>
      <c r="C61" t="s">
        <v>0</v>
      </c>
      <c r="D61" t="s">
        <v>69</v>
      </c>
      <c r="E61" t="s">
        <v>115</v>
      </c>
      <c r="F61">
        <v>2600</v>
      </c>
      <c r="G61">
        <v>510</v>
      </c>
      <c r="H61">
        <v>3110</v>
      </c>
    </row>
    <row r="62" spans="2:8" x14ac:dyDescent="0.25">
      <c r="B62" s="7">
        <v>44528</v>
      </c>
      <c r="C62" t="s">
        <v>0</v>
      </c>
      <c r="D62" t="s">
        <v>116</v>
      </c>
      <c r="E62" t="s">
        <v>117</v>
      </c>
      <c r="F62">
        <v>1765</v>
      </c>
      <c r="G62">
        <v>0</v>
      </c>
      <c r="H62">
        <v>1765</v>
      </c>
    </row>
    <row r="63" spans="2:8" x14ac:dyDescent="0.25">
      <c r="B63" s="7">
        <v>44510</v>
      </c>
      <c r="C63" t="s">
        <v>0</v>
      </c>
      <c r="D63" t="s">
        <v>116</v>
      </c>
      <c r="E63" t="s">
        <v>117</v>
      </c>
      <c r="F63">
        <v>4300</v>
      </c>
      <c r="G63">
        <v>0</v>
      </c>
      <c r="H63">
        <v>4300</v>
      </c>
    </row>
    <row r="64" spans="2:8" x14ac:dyDescent="0.25">
      <c r="B64" s="7">
        <v>44500</v>
      </c>
      <c r="C64" t="s">
        <v>0</v>
      </c>
      <c r="D64" t="s">
        <v>116</v>
      </c>
      <c r="E64" t="s">
        <v>117</v>
      </c>
      <c r="F64">
        <v>1300</v>
      </c>
      <c r="G64">
        <v>0</v>
      </c>
      <c r="H64">
        <v>1300</v>
      </c>
    </row>
    <row r="65" spans="2:8" x14ac:dyDescent="0.25">
      <c r="B65" s="7">
        <v>44498</v>
      </c>
      <c r="C65" t="s">
        <v>0</v>
      </c>
      <c r="D65" t="s">
        <v>69</v>
      </c>
      <c r="E65" t="s">
        <v>117</v>
      </c>
      <c r="F65">
        <v>10000</v>
      </c>
      <c r="G65">
        <v>0</v>
      </c>
      <c r="H65">
        <v>10000</v>
      </c>
    </row>
    <row r="66" spans="2:8" x14ac:dyDescent="0.25">
      <c r="B66" s="7">
        <v>44492</v>
      </c>
      <c r="C66" t="s">
        <v>0</v>
      </c>
      <c r="D66" t="s">
        <v>116</v>
      </c>
      <c r="E66" t="s">
        <v>117</v>
      </c>
      <c r="F66">
        <v>2000</v>
      </c>
      <c r="G66">
        <v>0</v>
      </c>
      <c r="H66">
        <v>2000</v>
      </c>
    </row>
    <row r="67" spans="2:8" x14ac:dyDescent="0.25">
      <c r="B67" s="7">
        <v>44481</v>
      </c>
      <c r="C67" t="s">
        <v>0</v>
      </c>
      <c r="D67" t="s">
        <v>116</v>
      </c>
      <c r="E67" t="s">
        <v>117</v>
      </c>
      <c r="F67">
        <v>1510</v>
      </c>
      <c r="G67">
        <v>0</v>
      </c>
      <c r="H67">
        <v>1510</v>
      </c>
    </row>
    <row r="68" spans="2:8" x14ac:dyDescent="0.25">
      <c r="B68" s="7">
        <v>44480</v>
      </c>
      <c r="C68" t="s">
        <v>0</v>
      </c>
      <c r="D68" t="s">
        <v>116</v>
      </c>
      <c r="E68" t="s">
        <v>117</v>
      </c>
      <c r="F68">
        <v>2012</v>
      </c>
      <c r="G68">
        <v>0</v>
      </c>
      <c r="H68">
        <v>2012</v>
      </c>
    </row>
    <row r="69" spans="2:8" x14ac:dyDescent="0.25">
      <c r="B69" s="7">
        <v>44472</v>
      </c>
      <c r="C69" t="s">
        <v>0</v>
      </c>
      <c r="D69" t="s">
        <v>116</v>
      </c>
      <c r="E69" t="s">
        <v>117</v>
      </c>
      <c r="F69">
        <v>1811</v>
      </c>
      <c r="G69">
        <v>0</v>
      </c>
      <c r="H69">
        <v>1811</v>
      </c>
    </row>
    <row r="70" spans="2:8" x14ac:dyDescent="0.25">
      <c r="B70" s="7">
        <v>44467</v>
      </c>
      <c r="C70" t="s">
        <v>0</v>
      </c>
      <c r="D70" t="s">
        <v>97</v>
      </c>
      <c r="E70" t="s">
        <v>118</v>
      </c>
      <c r="F70">
        <v>620</v>
      </c>
      <c r="G70">
        <v>510</v>
      </c>
      <c r="H70">
        <v>1130</v>
      </c>
    </row>
    <row r="71" spans="2:8" x14ac:dyDescent="0.25">
      <c r="B71" s="7">
        <v>44461</v>
      </c>
      <c r="C71" t="s">
        <v>0</v>
      </c>
      <c r="D71" t="s">
        <v>97</v>
      </c>
      <c r="E71" t="s">
        <v>119</v>
      </c>
      <c r="F71">
        <v>4080</v>
      </c>
      <c r="G71">
        <v>910</v>
      </c>
      <c r="H71">
        <v>4990</v>
      </c>
    </row>
    <row r="72" spans="2:8" x14ac:dyDescent="0.25">
      <c r="B72" s="7">
        <v>44457</v>
      </c>
      <c r="C72" t="s">
        <v>0</v>
      </c>
      <c r="D72" t="s">
        <v>97</v>
      </c>
      <c r="E72" t="s">
        <v>120</v>
      </c>
      <c r="F72">
        <v>1008</v>
      </c>
      <c r="G72">
        <v>981</v>
      </c>
      <c r="H72">
        <v>1989</v>
      </c>
    </row>
    <row r="73" spans="2:8" x14ac:dyDescent="0.25">
      <c r="B73" s="7">
        <v>44455</v>
      </c>
      <c r="C73" t="s">
        <v>0</v>
      </c>
      <c r="D73" t="s">
        <v>97</v>
      </c>
      <c r="E73" t="s">
        <v>121</v>
      </c>
      <c r="F73">
        <v>2015</v>
      </c>
      <c r="G73">
        <v>660</v>
      </c>
      <c r="H73">
        <v>2675</v>
      </c>
    </row>
    <row r="74" spans="2:8" x14ac:dyDescent="0.25">
      <c r="B74" s="7">
        <v>44450</v>
      </c>
      <c r="C74" t="s">
        <v>0</v>
      </c>
      <c r="D74" t="s">
        <v>122</v>
      </c>
      <c r="E74" t="s">
        <v>123</v>
      </c>
      <c r="F74">
        <v>910</v>
      </c>
      <c r="G74">
        <v>0</v>
      </c>
      <c r="H74">
        <v>910</v>
      </c>
    </row>
    <row r="75" spans="2:8" x14ac:dyDescent="0.25">
      <c r="B75" s="7">
        <v>44447</v>
      </c>
      <c r="C75" t="s">
        <v>0</v>
      </c>
      <c r="D75" t="s">
        <v>97</v>
      </c>
      <c r="E75" t="s">
        <v>124</v>
      </c>
      <c r="F75">
        <v>1200</v>
      </c>
      <c r="G75">
        <v>0</v>
      </c>
      <c r="H75">
        <v>1200</v>
      </c>
    </row>
    <row r="76" spans="2:8" x14ac:dyDescent="0.25">
      <c r="B76" s="7">
        <v>44444</v>
      </c>
      <c r="C76" t="s">
        <v>2</v>
      </c>
      <c r="D76" t="s">
        <v>122</v>
      </c>
      <c r="E76" t="s">
        <v>125</v>
      </c>
      <c r="F76">
        <v>1260</v>
      </c>
      <c r="G76">
        <v>410</v>
      </c>
      <c r="H76">
        <v>1670</v>
      </c>
    </row>
    <row r="77" spans="2:8" x14ac:dyDescent="0.25">
      <c r="B77" s="7">
        <v>44441</v>
      </c>
      <c r="C77" t="s">
        <v>0</v>
      </c>
      <c r="D77" t="s">
        <v>97</v>
      </c>
      <c r="E77" t="s">
        <v>126</v>
      </c>
      <c r="F77">
        <v>1599</v>
      </c>
      <c r="G77">
        <v>0</v>
      </c>
      <c r="H77">
        <v>1599</v>
      </c>
    </row>
    <row r="78" spans="2:8" x14ac:dyDescent="0.25">
      <c r="B78" s="7">
        <v>44436</v>
      </c>
      <c r="C78" t="s">
        <v>0</v>
      </c>
      <c r="D78" t="s">
        <v>97</v>
      </c>
      <c r="E78" t="s">
        <v>127</v>
      </c>
      <c r="F78">
        <v>886</v>
      </c>
      <c r="G78">
        <v>510</v>
      </c>
      <c r="H78">
        <v>1396</v>
      </c>
    </row>
    <row r="79" spans="2:8" x14ac:dyDescent="0.25">
      <c r="B79" s="7">
        <v>44431</v>
      </c>
      <c r="C79" t="s">
        <v>0</v>
      </c>
      <c r="D79" t="s">
        <v>128</v>
      </c>
      <c r="E79" t="s">
        <v>129</v>
      </c>
      <c r="F79">
        <v>500</v>
      </c>
      <c r="G79">
        <v>0</v>
      </c>
      <c r="H79">
        <v>500</v>
      </c>
    </row>
    <row r="80" spans="2:8" x14ac:dyDescent="0.25">
      <c r="B80" s="7">
        <v>44430</v>
      </c>
      <c r="C80" t="s">
        <v>2</v>
      </c>
      <c r="D80" t="s">
        <v>122</v>
      </c>
      <c r="E80" t="s">
        <v>130</v>
      </c>
      <c r="F80">
        <v>420</v>
      </c>
      <c r="G80">
        <v>410</v>
      </c>
      <c r="H80">
        <v>830</v>
      </c>
    </row>
    <row r="81" spans="2:8" x14ac:dyDescent="0.25">
      <c r="B81" s="7">
        <v>44426</v>
      </c>
      <c r="C81" t="s">
        <v>0</v>
      </c>
      <c r="D81" t="s">
        <v>97</v>
      </c>
      <c r="E81" t="s">
        <v>131</v>
      </c>
      <c r="F81">
        <v>6080</v>
      </c>
      <c r="G81">
        <v>1040</v>
      </c>
      <c r="H81">
        <v>7120</v>
      </c>
    </row>
    <row r="82" spans="2:8" x14ac:dyDescent="0.25">
      <c r="B82" s="7">
        <v>44425</v>
      </c>
      <c r="C82" t="s">
        <v>0</v>
      </c>
      <c r="D82" t="s">
        <v>60</v>
      </c>
      <c r="E82" t="s">
        <v>132</v>
      </c>
      <c r="F82">
        <v>341</v>
      </c>
      <c r="G82">
        <v>0</v>
      </c>
      <c r="H82">
        <v>341</v>
      </c>
    </row>
    <row r="83" spans="2:8" x14ac:dyDescent="0.25">
      <c r="B83" s="7">
        <v>44422</v>
      </c>
      <c r="C83" t="s">
        <v>0</v>
      </c>
      <c r="D83" t="s">
        <v>97</v>
      </c>
      <c r="E83" t="s">
        <v>133</v>
      </c>
      <c r="F83">
        <v>2800</v>
      </c>
      <c r="G83">
        <v>1040</v>
      </c>
      <c r="H83">
        <v>3840</v>
      </c>
    </row>
    <row r="84" spans="2:8" x14ac:dyDescent="0.25">
      <c r="B84" s="7">
        <v>44420</v>
      </c>
      <c r="C84" t="s">
        <v>0</v>
      </c>
      <c r="D84" t="s">
        <v>60</v>
      </c>
      <c r="E84" t="s">
        <v>134</v>
      </c>
      <c r="F84">
        <v>1191</v>
      </c>
      <c r="G84">
        <v>0</v>
      </c>
      <c r="H84">
        <v>1191</v>
      </c>
    </row>
    <row r="85" spans="2:8" x14ac:dyDescent="0.25">
      <c r="B85" s="7">
        <v>44418</v>
      </c>
      <c r="C85" t="s">
        <v>14</v>
      </c>
      <c r="D85" t="s">
        <v>128</v>
      </c>
      <c r="E85" t="s">
        <v>135</v>
      </c>
      <c r="F85">
        <v>1000</v>
      </c>
      <c r="G85">
        <v>0</v>
      </c>
      <c r="H85">
        <v>1000</v>
      </c>
    </row>
    <row r="86" spans="2:8" x14ac:dyDescent="0.25">
      <c r="B86" s="7">
        <v>44417</v>
      </c>
      <c r="C86" t="s">
        <v>0</v>
      </c>
      <c r="D86" t="s">
        <v>128</v>
      </c>
      <c r="E86" t="s">
        <v>136</v>
      </c>
      <c r="F86">
        <v>850</v>
      </c>
      <c r="G86">
        <v>710</v>
      </c>
      <c r="H86">
        <v>1560</v>
      </c>
    </row>
    <row r="87" spans="2:8" x14ac:dyDescent="0.25">
      <c r="B87" s="7">
        <v>44417</v>
      </c>
      <c r="C87" t="s">
        <v>0</v>
      </c>
      <c r="D87" t="s">
        <v>97</v>
      </c>
      <c r="E87" t="s">
        <v>137</v>
      </c>
      <c r="F87">
        <v>1940</v>
      </c>
      <c r="G87">
        <v>756</v>
      </c>
      <c r="H87">
        <v>2495</v>
      </c>
    </row>
    <row r="88" spans="2:8" x14ac:dyDescent="0.25">
      <c r="B88" s="7">
        <v>44417</v>
      </c>
      <c r="C88" t="s">
        <v>0</v>
      </c>
      <c r="D88" t="s">
        <v>128</v>
      </c>
      <c r="E88" t="s">
        <v>138</v>
      </c>
      <c r="F88">
        <v>5400</v>
      </c>
      <c r="G88">
        <v>1219</v>
      </c>
      <c r="H88">
        <v>6619</v>
      </c>
    </row>
    <row r="89" spans="2:8" x14ac:dyDescent="0.25">
      <c r="B89" s="7">
        <v>44413</v>
      </c>
      <c r="C89" t="s">
        <v>0</v>
      </c>
      <c r="D89" t="s">
        <v>97</v>
      </c>
      <c r="E89" t="s">
        <v>139</v>
      </c>
      <c r="F89">
        <v>3575</v>
      </c>
      <c r="G89">
        <v>1465</v>
      </c>
      <c r="H89">
        <v>5040</v>
      </c>
    </row>
    <row r="90" spans="2:8" x14ac:dyDescent="0.25">
      <c r="B90" s="7">
        <v>44413</v>
      </c>
      <c r="C90" t="s">
        <v>0</v>
      </c>
      <c r="D90" t="s">
        <v>69</v>
      </c>
      <c r="E90" t="s">
        <v>140</v>
      </c>
      <c r="F90">
        <v>8000</v>
      </c>
      <c r="G90">
        <v>800</v>
      </c>
      <c r="H90">
        <v>8800</v>
      </c>
    </row>
    <row r="91" spans="2:8" x14ac:dyDescent="0.25">
      <c r="B91" s="7">
        <v>44411</v>
      </c>
      <c r="C91" t="s">
        <v>0</v>
      </c>
      <c r="D91" t="s">
        <v>128</v>
      </c>
      <c r="E91" t="s">
        <v>141</v>
      </c>
      <c r="F91">
        <v>5000</v>
      </c>
      <c r="G91">
        <v>0</v>
      </c>
      <c r="H91">
        <v>5000</v>
      </c>
    </row>
    <row r="92" spans="2:8" x14ac:dyDescent="0.25">
      <c r="B92" s="7">
        <v>44409</v>
      </c>
      <c r="C92" t="s">
        <v>0</v>
      </c>
      <c r="D92" t="s">
        <v>116</v>
      </c>
      <c r="E92" t="s">
        <v>142</v>
      </c>
      <c r="F92">
        <v>1000</v>
      </c>
      <c r="G92">
        <v>1089</v>
      </c>
      <c r="H92">
        <v>1888</v>
      </c>
    </row>
    <row r="93" spans="2:8" x14ac:dyDescent="0.25">
      <c r="B93" s="7">
        <v>44403</v>
      </c>
      <c r="C93" t="s">
        <v>0</v>
      </c>
      <c r="D93" t="s">
        <v>116</v>
      </c>
      <c r="E93" t="s">
        <v>143</v>
      </c>
      <c r="F93">
        <v>3400</v>
      </c>
      <c r="G93">
        <v>510</v>
      </c>
      <c r="H93">
        <v>3710</v>
      </c>
    </row>
    <row r="94" spans="2:8" x14ac:dyDescent="0.25">
      <c r="B94" s="7">
        <v>44402</v>
      </c>
      <c r="C94" t="s">
        <v>0</v>
      </c>
      <c r="D94" t="s">
        <v>116</v>
      </c>
      <c r="E94" t="s">
        <v>144</v>
      </c>
      <c r="F94">
        <v>9000</v>
      </c>
      <c r="G94">
        <v>0</v>
      </c>
      <c r="H94">
        <v>8499</v>
      </c>
    </row>
    <row r="95" spans="2:8" x14ac:dyDescent="0.25">
      <c r="B95" s="7">
        <v>44398</v>
      </c>
      <c r="C95" t="s">
        <v>0</v>
      </c>
      <c r="D95" t="s">
        <v>116</v>
      </c>
      <c r="E95" t="s">
        <v>145</v>
      </c>
      <c r="F95">
        <v>3300</v>
      </c>
      <c r="G95">
        <v>756</v>
      </c>
      <c r="H95">
        <v>3854</v>
      </c>
    </row>
    <row r="96" spans="2:8" x14ac:dyDescent="0.25">
      <c r="B96" s="7">
        <v>44396</v>
      </c>
      <c r="C96" t="s">
        <v>0</v>
      </c>
      <c r="D96" t="s">
        <v>116</v>
      </c>
      <c r="E96" t="s">
        <v>146</v>
      </c>
      <c r="F96">
        <v>5824</v>
      </c>
      <c r="G96">
        <v>750</v>
      </c>
      <c r="H96">
        <v>6374</v>
      </c>
    </row>
    <row r="97" spans="2:8" x14ac:dyDescent="0.25">
      <c r="B97" s="7">
        <v>44391</v>
      </c>
      <c r="C97" t="s">
        <v>0</v>
      </c>
      <c r="D97" t="s">
        <v>116</v>
      </c>
      <c r="E97" t="s">
        <v>147</v>
      </c>
      <c r="F97">
        <v>2900</v>
      </c>
      <c r="G97">
        <v>710</v>
      </c>
      <c r="H97">
        <v>3610</v>
      </c>
    </row>
    <row r="98" spans="2:8" x14ac:dyDescent="0.25">
      <c r="B98" s="7">
        <v>44390</v>
      </c>
      <c r="C98" t="s">
        <v>0</v>
      </c>
      <c r="D98" t="s">
        <v>116</v>
      </c>
      <c r="E98" t="s">
        <v>148</v>
      </c>
      <c r="F98">
        <v>4730</v>
      </c>
      <c r="G98">
        <v>750</v>
      </c>
      <c r="H98">
        <v>4980</v>
      </c>
    </row>
    <row r="99" spans="2:8" x14ac:dyDescent="0.25">
      <c r="B99" s="7">
        <v>44372</v>
      </c>
      <c r="C99" t="s">
        <v>0</v>
      </c>
      <c r="D99" t="s">
        <v>116</v>
      </c>
      <c r="E99" t="s">
        <v>149</v>
      </c>
      <c r="F99">
        <v>2450</v>
      </c>
      <c r="G99">
        <v>756</v>
      </c>
      <c r="H99">
        <v>3206</v>
      </c>
    </row>
    <row r="100" spans="2:8" x14ac:dyDescent="0.25">
      <c r="B100" s="7">
        <v>44368</v>
      </c>
      <c r="C100" t="s">
        <v>0</v>
      </c>
      <c r="D100" t="s">
        <v>116</v>
      </c>
      <c r="E100" t="s">
        <v>150</v>
      </c>
      <c r="F100">
        <v>2100</v>
      </c>
      <c r="G100">
        <v>657</v>
      </c>
      <c r="H100">
        <v>2557</v>
      </c>
    </row>
    <row r="101" spans="2:8" x14ac:dyDescent="0.25">
      <c r="B101" s="7">
        <v>44366</v>
      </c>
      <c r="C101" t="s">
        <v>0</v>
      </c>
      <c r="D101" t="s">
        <v>116</v>
      </c>
      <c r="E101" t="s">
        <v>151</v>
      </c>
      <c r="F101">
        <v>2100</v>
      </c>
      <c r="G101">
        <v>350</v>
      </c>
      <c r="H101">
        <v>2450</v>
      </c>
    </row>
    <row r="102" spans="2:8" x14ac:dyDescent="0.25">
      <c r="B102" s="7">
        <v>44360</v>
      </c>
      <c r="C102" t="s">
        <v>0</v>
      </c>
      <c r="D102" t="s">
        <v>69</v>
      </c>
      <c r="E102" t="s">
        <v>152</v>
      </c>
      <c r="F102">
        <v>3465</v>
      </c>
      <c r="G102">
        <v>750</v>
      </c>
      <c r="H102">
        <v>4015</v>
      </c>
    </row>
    <row r="103" spans="2:8" x14ac:dyDescent="0.25">
      <c r="B103" s="7">
        <v>44356</v>
      </c>
      <c r="C103" t="s">
        <v>2</v>
      </c>
      <c r="D103" t="s">
        <v>122</v>
      </c>
      <c r="E103" t="s">
        <v>153</v>
      </c>
      <c r="F103">
        <v>1300</v>
      </c>
      <c r="G103">
        <v>0</v>
      </c>
      <c r="H103">
        <v>1300</v>
      </c>
    </row>
    <row r="104" spans="2:8" x14ac:dyDescent="0.25">
      <c r="B104" s="7">
        <v>44356</v>
      </c>
      <c r="C104" t="s">
        <v>2</v>
      </c>
      <c r="D104" t="s">
        <v>56</v>
      </c>
      <c r="E104" t="s">
        <v>154</v>
      </c>
      <c r="F104">
        <v>1817</v>
      </c>
      <c r="G104">
        <v>0</v>
      </c>
      <c r="H104">
        <v>1817</v>
      </c>
    </row>
    <row r="105" spans="2:8" x14ac:dyDescent="0.25">
      <c r="B105" s="7">
        <v>44352</v>
      </c>
      <c r="C105" t="s">
        <v>0</v>
      </c>
      <c r="D105" t="s">
        <v>155</v>
      </c>
      <c r="E105" t="s">
        <v>156</v>
      </c>
      <c r="F105">
        <v>15000</v>
      </c>
      <c r="G105">
        <v>0</v>
      </c>
      <c r="H105">
        <v>14236</v>
      </c>
    </row>
    <row r="106" spans="2:8" x14ac:dyDescent="0.25">
      <c r="B106" s="7">
        <v>44339</v>
      </c>
      <c r="C106" t="s">
        <v>0</v>
      </c>
      <c r="D106" t="s">
        <v>116</v>
      </c>
      <c r="E106" t="s">
        <v>157</v>
      </c>
      <c r="F106">
        <v>2300</v>
      </c>
      <c r="G106">
        <v>710</v>
      </c>
      <c r="H106">
        <v>2910</v>
      </c>
    </row>
    <row r="107" spans="2:8" x14ac:dyDescent="0.25">
      <c r="B107" s="7">
        <v>44338</v>
      </c>
      <c r="C107" t="s">
        <v>0</v>
      </c>
      <c r="D107" t="s">
        <v>3</v>
      </c>
      <c r="E107" t="s">
        <v>16</v>
      </c>
      <c r="F107">
        <v>15845</v>
      </c>
      <c r="G107">
        <v>750</v>
      </c>
      <c r="H107">
        <v>16495</v>
      </c>
    </row>
    <row r="108" spans="2:8" x14ac:dyDescent="0.25">
      <c r="B108" s="7">
        <v>44337</v>
      </c>
      <c r="C108" t="s">
        <v>2</v>
      </c>
      <c r="D108" t="s">
        <v>122</v>
      </c>
      <c r="E108" t="s">
        <v>158</v>
      </c>
      <c r="F108">
        <v>980</v>
      </c>
      <c r="G108">
        <v>0</v>
      </c>
      <c r="H108">
        <v>980</v>
      </c>
    </row>
    <row r="109" spans="2:8" x14ac:dyDescent="0.25">
      <c r="B109" s="7">
        <v>44337</v>
      </c>
      <c r="C109" t="s">
        <v>0</v>
      </c>
      <c r="D109" t="s">
        <v>69</v>
      </c>
      <c r="E109" t="s">
        <v>159</v>
      </c>
      <c r="F109">
        <v>5109</v>
      </c>
      <c r="G109">
        <v>1540</v>
      </c>
      <c r="H109">
        <v>6599</v>
      </c>
    </row>
    <row r="110" spans="2:8" x14ac:dyDescent="0.25">
      <c r="B110" s="7">
        <v>44333</v>
      </c>
      <c r="C110" t="s">
        <v>0</v>
      </c>
      <c r="D110" t="s">
        <v>116</v>
      </c>
      <c r="E110" t="s">
        <v>151</v>
      </c>
      <c r="F110">
        <v>2000</v>
      </c>
      <c r="G110">
        <v>300</v>
      </c>
      <c r="H110">
        <v>2300</v>
      </c>
    </row>
    <row r="111" spans="2:8" x14ac:dyDescent="0.25">
      <c r="B111" s="7">
        <v>44332</v>
      </c>
      <c r="C111" t="s">
        <v>0</v>
      </c>
      <c r="D111" t="s">
        <v>160</v>
      </c>
      <c r="E111" t="s">
        <v>161</v>
      </c>
      <c r="F111">
        <v>3100</v>
      </c>
      <c r="G111">
        <v>0</v>
      </c>
      <c r="H111">
        <v>2900</v>
      </c>
    </row>
    <row r="112" spans="2:8" x14ac:dyDescent="0.25">
      <c r="B112" s="7">
        <v>44330</v>
      </c>
      <c r="C112" t="s">
        <v>0</v>
      </c>
      <c r="D112" t="s">
        <v>69</v>
      </c>
      <c r="E112" t="s">
        <v>162</v>
      </c>
      <c r="F112">
        <v>3000</v>
      </c>
      <c r="G112">
        <v>350</v>
      </c>
      <c r="H112">
        <v>3350</v>
      </c>
    </row>
    <row r="113" spans="2:8" x14ac:dyDescent="0.25">
      <c r="B113" s="7">
        <v>44316</v>
      </c>
      <c r="C113" t="s">
        <v>0</v>
      </c>
      <c r="D113" t="s">
        <v>81</v>
      </c>
      <c r="E113" t="s">
        <v>163</v>
      </c>
      <c r="F113">
        <v>2500</v>
      </c>
      <c r="G113">
        <v>1200</v>
      </c>
      <c r="H113">
        <v>3700</v>
      </c>
    </row>
    <row r="114" spans="2:8" x14ac:dyDescent="0.25">
      <c r="B114" s="7">
        <v>44315</v>
      </c>
      <c r="C114" t="s">
        <v>0</v>
      </c>
      <c r="D114" t="s">
        <v>56</v>
      </c>
      <c r="E114" t="s">
        <v>164</v>
      </c>
      <c r="F114">
        <v>4950</v>
      </c>
      <c r="G114">
        <v>1370</v>
      </c>
      <c r="H114">
        <v>5939</v>
      </c>
    </row>
    <row r="115" spans="2:8" x14ac:dyDescent="0.25">
      <c r="B115" s="7">
        <v>44310</v>
      </c>
      <c r="C115" t="s">
        <v>0</v>
      </c>
      <c r="D115" t="s">
        <v>3</v>
      </c>
      <c r="E115" t="s">
        <v>17</v>
      </c>
      <c r="F115">
        <v>1100</v>
      </c>
      <c r="G115">
        <v>1089</v>
      </c>
      <c r="H115">
        <v>739</v>
      </c>
    </row>
    <row r="116" spans="2:8" x14ac:dyDescent="0.25">
      <c r="B116" s="7">
        <v>44310</v>
      </c>
      <c r="C116" t="s">
        <v>0</v>
      </c>
      <c r="D116" t="s">
        <v>63</v>
      </c>
      <c r="E116" t="s">
        <v>165</v>
      </c>
      <c r="F116">
        <v>8000</v>
      </c>
      <c r="G116">
        <v>1219</v>
      </c>
      <c r="H116">
        <v>9219</v>
      </c>
    </row>
    <row r="117" spans="2:8" x14ac:dyDescent="0.25">
      <c r="B117" s="7">
        <v>44307</v>
      </c>
      <c r="C117" t="s">
        <v>0</v>
      </c>
      <c r="D117" t="s">
        <v>69</v>
      </c>
      <c r="E117" t="s">
        <v>166</v>
      </c>
      <c r="F117">
        <v>9900</v>
      </c>
      <c r="G117">
        <v>750</v>
      </c>
      <c r="H117">
        <v>10550</v>
      </c>
    </row>
    <row r="118" spans="2:8" x14ac:dyDescent="0.25">
      <c r="B118" s="7">
        <v>44299</v>
      </c>
      <c r="C118" t="s">
        <v>0</v>
      </c>
      <c r="D118" t="s">
        <v>69</v>
      </c>
      <c r="E118" t="s">
        <v>167</v>
      </c>
      <c r="F118">
        <v>5280</v>
      </c>
      <c r="G118">
        <v>1180</v>
      </c>
      <c r="H118">
        <v>6210</v>
      </c>
    </row>
    <row r="119" spans="2:8" x14ac:dyDescent="0.25">
      <c r="B119" s="7">
        <v>44298</v>
      </c>
      <c r="C119" t="s">
        <v>1</v>
      </c>
      <c r="D119" t="s">
        <v>69</v>
      </c>
      <c r="E119" t="s">
        <v>168</v>
      </c>
      <c r="F119">
        <v>2000</v>
      </c>
      <c r="G119">
        <v>220</v>
      </c>
      <c r="H119">
        <v>2220</v>
      </c>
    </row>
    <row r="120" spans="2:8" x14ac:dyDescent="0.25">
      <c r="B120" s="7">
        <v>44292</v>
      </c>
      <c r="C120" t="s">
        <v>0</v>
      </c>
      <c r="D120" t="s">
        <v>69</v>
      </c>
      <c r="E120" t="s">
        <v>169</v>
      </c>
      <c r="F120">
        <v>4000</v>
      </c>
      <c r="G120">
        <v>1111</v>
      </c>
      <c r="H120">
        <v>5111</v>
      </c>
    </row>
    <row r="121" spans="2:8" x14ac:dyDescent="0.25">
      <c r="B121" s="7">
        <v>44292</v>
      </c>
      <c r="C121" t="s">
        <v>0</v>
      </c>
      <c r="D121" t="s">
        <v>56</v>
      </c>
      <c r="E121" t="s">
        <v>170</v>
      </c>
      <c r="F121">
        <v>4200</v>
      </c>
      <c r="G121">
        <v>1086</v>
      </c>
      <c r="H121">
        <v>5286</v>
      </c>
    </row>
    <row r="122" spans="2:8" x14ac:dyDescent="0.25">
      <c r="B122" s="7">
        <v>44291</v>
      </c>
      <c r="C122" t="s">
        <v>0</v>
      </c>
      <c r="D122" t="s">
        <v>69</v>
      </c>
      <c r="E122" t="s">
        <v>171</v>
      </c>
      <c r="F122">
        <v>9000</v>
      </c>
      <c r="G122">
        <v>1000</v>
      </c>
      <c r="H122">
        <v>9800</v>
      </c>
    </row>
    <row r="123" spans="2:8" x14ac:dyDescent="0.25">
      <c r="B123" s="7">
        <v>44291</v>
      </c>
      <c r="C123" t="s">
        <v>14</v>
      </c>
      <c r="D123" t="s">
        <v>69</v>
      </c>
      <c r="E123" t="s">
        <v>172</v>
      </c>
      <c r="F123">
        <v>2800</v>
      </c>
      <c r="G123">
        <v>0</v>
      </c>
      <c r="H123">
        <v>766</v>
      </c>
    </row>
    <row r="124" spans="2:8" x14ac:dyDescent="0.25">
      <c r="B124" s="7">
        <v>44283</v>
      </c>
      <c r="C124" t="s">
        <v>0</v>
      </c>
      <c r="D124" t="s">
        <v>69</v>
      </c>
      <c r="E124" t="s">
        <v>173</v>
      </c>
      <c r="F124">
        <v>12500</v>
      </c>
      <c r="G124">
        <v>1500</v>
      </c>
      <c r="H124">
        <v>10660</v>
      </c>
    </row>
    <row r="125" spans="2:8" x14ac:dyDescent="0.25">
      <c r="B125" s="7">
        <v>44275</v>
      </c>
      <c r="C125" t="s">
        <v>0</v>
      </c>
      <c r="D125" t="s">
        <v>56</v>
      </c>
      <c r="E125" t="s">
        <v>174</v>
      </c>
      <c r="F125">
        <v>1500</v>
      </c>
      <c r="G125">
        <v>0</v>
      </c>
      <c r="H125">
        <v>1500</v>
      </c>
    </row>
    <row r="126" spans="2:8" x14ac:dyDescent="0.25">
      <c r="B126" s="7">
        <v>44272</v>
      </c>
      <c r="C126" t="s">
        <v>14</v>
      </c>
      <c r="D126" t="s">
        <v>69</v>
      </c>
      <c r="E126" t="s">
        <v>175</v>
      </c>
      <c r="F126">
        <v>6900</v>
      </c>
      <c r="G126">
        <v>0</v>
      </c>
      <c r="H126">
        <v>6892</v>
      </c>
    </row>
    <row r="127" spans="2:8" x14ac:dyDescent="0.25">
      <c r="B127" s="7">
        <v>44272</v>
      </c>
      <c r="C127" t="s">
        <v>0</v>
      </c>
      <c r="D127" t="s">
        <v>69</v>
      </c>
      <c r="E127" t="s">
        <v>176</v>
      </c>
      <c r="F127">
        <v>3300</v>
      </c>
      <c r="G127">
        <v>1413</v>
      </c>
      <c r="H127">
        <v>4413</v>
      </c>
    </row>
    <row r="128" spans="2:8" x14ac:dyDescent="0.25">
      <c r="B128" s="7">
        <v>44262</v>
      </c>
      <c r="C128" t="s">
        <v>0</v>
      </c>
      <c r="D128" t="s">
        <v>69</v>
      </c>
      <c r="E128" t="s">
        <v>177</v>
      </c>
      <c r="F128">
        <v>8500</v>
      </c>
      <c r="G128">
        <v>990</v>
      </c>
      <c r="H128">
        <v>9490</v>
      </c>
    </row>
    <row r="129" spans="2:8" x14ac:dyDescent="0.25">
      <c r="B129" s="7">
        <v>44260</v>
      </c>
      <c r="C129" t="s">
        <v>0</v>
      </c>
      <c r="D129" t="s">
        <v>69</v>
      </c>
      <c r="E129" t="s">
        <v>178</v>
      </c>
      <c r="F129">
        <v>8250</v>
      </c>
      <c r="G129">
        <v>390</v>
      </c>
      <c r="H129">
        <v>8639</v>
      </c>
    </row>
    <row r="130" spans="2:8" x14ac:dyDescent="0.25">
      <c r="B130" s="7">
        <v>44256</v>
      </c>
      <c r="C130" t="s">
        <v>14</v>
      </c>
      <c r="D130" t="s">
        <v>69</v>
      </c>
      <c r="E130" t="s">
        <v>179</v>
      </c>
      <c r="F130">
        <v>1700</v>
      </c>
      <c r="G130">
        <v>0</v>
      </c>
      <c r="H130">
        <v>1159</v>
      </c>
    </row>
    <row r="131" spans="2:8" x14ac:dyDescent="0.25">
      <c r="B131" s="7">
        <v>44249</v>
      </c>
      <c r="C131" t="s">
        <v>14</v>
      </c>
      <c r="D131" t="s">
        <v>69</v>
      </c>
      <c r="E131" t="s">
        <v>180</v>
      </c>
      <c r="F131">
        <v>8200</v>
      </c>
      <c r="G131">
        <v>0</v>
      </c>
      <c r="H131">
        <v>8200</v>
      </c>
    </row>
    <row r="132" spans="2:8" x14ac:dyDescent="0.25">
      <c r="B132" s="7">
        <v>44243</v>
      </c>
      <c r="C132" t="s">
        <v>0</v>
      </c>
      <c r="D132" t="s">
        <v>69</v>
      </c>
      <c r="E132" t="s">
        <v>181</v>
      </c>
      <c r="F132">
        <v>8250</v>
      </c>
      <c r="G132">
        <v>810</v>
      </c>
      <c r="H132">
        <v>8860</v>
      </c>
    </row>
    <row r="133" spans="2:8" x14ac:dyDescent="0.25">
      <c r="B133" s="7">
        <v>44238</v>
      </c>
      <c r="C133" t="s">
        <v>0</v>
      </c>
      <c r="D133" t="s">
        <v>69</v>
      </c>
      <c r="E133" t="s">
        <v>182</v>
      </c>
      <c r="F133">
        <v>3501</v>
      </c>
      <c r="G133">
        <v>350</v>
      </c>
      <c r="H133">
        <v>3651</v>
      </c>
    </row>
    <row r="134" spans="2:8" x14ac:dyDescent="0.25">
      <c r="B134" s="7">
        <v>44238</v>
      </c>
      <c r="C134" t="s">
        <v>0</v>
      </c>
      <c r="D134" t="s">
        <v>69</v>
      </c>
      <c r="E134" t="s">
        <v>183</v>
      </c>
      <c r="F134">
        <v>2200</v>
      </c>
      <c r="G134">
        <v>750</v>
      </c>
      <c r="H134">
        <v>2750</v>
      </c>
    </row>
    <row r="135" spans="2:8" x14ac:dyDescent="0.25">
      <c r="B135" s="7">
        <v>44238</v>
      </c>
      <c r="C135" t="s">
        <v>0</v>
      </c>
      <c r="D135" t="s">
        <v>63</v>
      </c>
      <c r="E135" t="s">
        <v>184</v>
      </c>
      <c r="F135">
        <v>3500</v>
      </c>
      <c r="G135">
        <v>1050</v>
      </c>
      <c r="H135">
        <v>4350</v>
      </c>
    </row>
    <row r="136" spans="2:8" x14ac:dyDescent="0.25">
      <c r="B136" s="7">
        <v>44236</v>
      </c>
      <c r="C136" t="s">
        <v>1</v>
      </c>
      <c r="D136" t="s">
        <v>69</v>
      </c>
      <c r="E136" t="s">
        <v>185</v>
      </c>
      <c r="F136">
        <v>6700</v>
      </c>
      <c r="G136">
        <v>0</v>
      </c>
      <c r="H136">
        <v>6700</v>
      </c>
    </row>
    <row r="137" spans="2:8" x14ac:dyDescent="0.25">
      <c r="B137" s="7">
        <v>44236</v>
      </c>
      <c r="C137" t="s">
        <v>1</v>
      </c>
      <c r="D137" t="s">
        <v>69</v>
      </c>
      <c r="E137" t="s">
        <v>186</v>
      </c>
      <c r="F137">
        <v>3150</v>
      </c>
      <c r="G137">
        <v>220</v>
      </c>
      <c r="H137">
        <v>3370</v>
      </c>
    </row>
    <row r="138" spans="2:8" x14ac:dyDescent="0.25">
      <c r="B138" s="7">
        <v>44236</v>
      </c>
      <c r="C138" t="s">
        <v>0</v>
      </c>
      <c r="D138" t="s">
        <v>69</v>
      </c>
      <c r="E138" t="s">
        <v>187</v>
      </c>
      <c r="F138">
        <v>10500</v>
      </c>
      <c r="G138">
        <v>700</v>
      </c>
      <c r="H138">
        <v>10900</v>
      </c>
    </row>
    <row r="139" spans="2:8" x14ac:dyDescent="0.25">
      <c r="B139" s="7">
        <v>44225</v>
      </c>
      <c r="C139" t="s">
        <v>0</v>
      </c>
      <c r="D139" t="s">
        <v>69</v>
      </c>
      <c r="E139" t="s">
        <v>188</v>
      </c>
      <c r="F139">
        <v>2170</v>
      </c>
      <c r="G139">
        <v>756</v>
      </c>
      <c r="H139">
        <v>2926</v>
      </c>
    </row>
    <row r="140" spans="2:8" x14ac:dyDescent="0.25">
      <c r="B140" s="7">
        <v>44224</v>
      </c>
      <c r="C140" t="s">
        <v>0</v>
      </c>
      <c r="D140" t="s">
        <v>69</v>
      </c>
      <c r="E140" t="s">
        <v>189</v>
      </c>
      <c r="F140">
        <v>11500</v>
      </c>
      <c r="G140">
        <v>700</v>
      </c>
      <c r="H140">
        <v>11824</v>
      </c>
    </row>
    <row r="141" spans="2:8" x14ac:dyDescent="0.25">
      <c r="B141" s="7">
        <v>44214</v>
      </c>
      <c r="C141" t="s">
        <v>2</v>
      </c>
      <c r="D141" t="s">
        <v>190</v>
      </c>
      <c r="E141" t="s">
        <v>191</v>
      </c>
      <c r="F141">
        <v>3291</v>
      </c>
      <c r="G141">
        <v>0</v>
      </c>
      <c r="H141">
        <v>3291</v>
      </c>
    </row>
    <row r="142" spans="2:8" x14ac:dyDescent="0.25">
      <c r="B142" s="7">
        <v>44184</v>
      </c>
      <c r="C142" t="s">
        <v>0</v>
      </c>
      <c r="D142" t="s">
        <v>69</v>
      </c>
      <c r="E142" t="s">
        <v>192</v>
      </c>
      <c r="F142">
        <v>4980</v>
      </c>
      <c r="G142">
        <v>510</v>
      </c>
      <c r="H142">
        <v>5490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7A6BF3-6398-470A-A650-C0A628751795}">
  <sheetPr codeName="Sheet4"/>
  <dimension ref="A1:I142"/>
  <sheetViews>
    <sheetView showGridLines="0" tabSelected="1" workbookViewId="0">
      <pane ySplit="2" topLeftCell="A15" activePane="bottomLeft" state="frozen"/>
      <selection activeCell="B1" sqref="B1"/>
      <selection pane="bottomLeft" activeCell="E3" sqref="E3"/>
    </sheetView>
  </sheetViews>
  <sheetFormatPr defaultRowHeight="15.75" x14ac:dyDescent="0.25"/>
  <cols>
    <col min="1" max="1" width="4.5546875" hidden="1" customWidth="1"/>
    <col min="2" max="2" width="11.77734375" style="25" bestFit="1" customWidth="1"/>
    <col min="3" max="3" width="8.109375" bestFit="1" customWidth="1"/>
    <col min="4" max="4" width="8.6640625" bestFit="1" customWidth="1"/>
    <col min="5" max="5" width="40.77734375" customWidth="1"/>
    <col min="6" max="6" width="7.109375" style="28" bestFit="1" customWidth="1"/>
    <col min="7" max="7" width="5.77734375" style="28" customWidth="1"/>
    <col min="8" max="8" width="7.109375" style="28" bestFit="1" customWidth="1"/>
  </cols>
  <sheetData>
    <row r="1" spans="1:9" x14ac:dyDescent="0.25">
      <c r="A1" s="20"/>
      <c r="B1" s="23" t="s">
        <v>206</v>
      </c>
      <c r="C1" s="18"/>
      <c r="D1" s="18"/>
      <c r="E1" s="18"/>
      <c r="F1" s="26"/>
      <c r="G1" s="26"/>
      <c r="H1" s="26"/>
    </row>
    <row r="2" spans="1:9" x14ac:dyDescent="0.25">
      <c r="A2" t="s">
        <v>51</v>
      </c>
      <c r="B2" s="24" t="s">
        <v>52</v>
      </c>
      <c r="C2" s="22" t="s">
        <v>18</v>
      </c>
      <c r="D2" s="22" t="s">
        <v>19</v>
      </c>
      <c r="E2" s="22" t="s">
        <v>20</v>
      </c>
      <c r="F2" s="27" t="s">
        <v>53</v>
      </c>
      <c r="G2" s="27" t="s">
        <v>54</v>
      </c>
      <c r="H2" s="27" t="s">
        <v>55</v>
      </c>
      <c r="I2" s="21"/>
    </row>
    <row r="3" spans="1:9" x14ac:dyDescent="0.25">
      <c r="A3">
        <v>3</v>
      </c>
      <c r="B3" s="7">
        <v>44981</v>
      </c>
      <c r="C3" t="s">
        <v>0</v>
      </c>
      <c r="D3" t="s">
        <v>56</v>
      </c>
      <c r="E3" s="29" t="s">
        <v>57</v>
      </c>
      <c r="F3">
        <v>4600</v>
      </c>
      <c r="G3">
        <v>1000</v>
      </c>
      <c r="H3">
        <v>5600</v>
      </c>
    </row>
    <row r="4" spans="1:9" x14ac:dyDescent="0.25">
      <c r="A4">
        <v>4</v>
      </c>
      <c r="B4" s="7">
        <v>44977</v>
      </c>
      <c r="C4" t="s">
        <v>0</v>
      </c>
      <c r="D4" t="s">
        <v>3</v>
      </c>
      <c r="E4" t="s">
        <v>40</v>
      </c>
      <c r="F4">
        <v>1780</v>
      </c>
      <c r="G4">
        <v>510</v>
      </c>
      <c r="H4">
        <v>2131</v>
      </c>
    </row>
    <row r="5" spans="1:9" x14ac:dyDescent="0.25">
      <c r="A5">
        <v>5</v>
      </c>
      <c r="B5" s="7">
        <v>44918</v>
      </c>
      <c r="C5" t="s">
        <v>2</v>
      </c>
      <c r="D5" t="s">
        <v>58</v>
      </c>
      <c r="E5" t="s">
        <v>59</v>
      </c>
      <c r="F5">
        <v>5973</v>
      </c>
      <c r="G5">
        <v>0</v>
      </c>
      <c r="H5">
        <v>5973</v>
      </c>
    </row>
    <row r="6" spans="1:9" x14ac:dyDescent="0.25">
      <c r="A6">
        <v>6</v>
      </c>
      <c r="B6" s="7">
        <v>44907</v>
      </c>
      <c r="C6" t="s">
        <v>0</v>
      </c>
      <c r="D6" t="s">
        <v>3</v>
      </c>
      <c r="E6" t="s">
        <v>4</v>
      </c>
      <c r="F6">
        <v>8400</v>
      </c>
      <c r="G6">
        <v>1219</v>
      </c>
      <c r="H6">
        <v>9199</v>
      </c>
    </row>
    <row r="7" spans="1:9" x14ac:dyDescent="0.25">
      <c r="A7">
        <v>7</v>
      </c>
      <c r="B7" s="7">
        <v>44906</v>
      </c>
      <c r="C7" t="s">
        <v>0</v>
      </c>
      <c r="D7" t="s">
        <v>3</v>
      </c>
      <c r="E7" t="s">
        <v>5</v>
      </c>
      <c r="F7">
        <v>1300</v>
      </c>
      <c r="G7">
        <v>510</v>
      </c>
      <c r="H7">
        <v>1610</v>
      </c>
    </row>
    <row r="8" spans="1:9" x14ac:dyDescent="0.25">
      <c r="A8">
        <v>8</v>
      </c>
      <c r="B8" s="7">
        <v>44895</v>
      </c>
      <c r="C8" t="s">
        <v>6</v>
      </c>
      <c r="D8" t="s">
        <v>60</v>
      </c>
      <c r="E8" t="s">
        <v>61</v>
      </c>
      <c r="F8">
        <v>1106</v>
      </c>
      <c r="G8">
        <v>0</v>
      </c>
      <c r="H8">
        <v>1106</v>
      </c>
    </row>
    <row r="9" spans="1:9" x14ac:dyDescent="0.25">
      <c r="A9">
        <v>9</v>
      </c>
      <c r="B9" s="7">
        <v>44891</v>
      </c>
      <c r="C9" t="s">
        <v>0</v>
      </c>
      <c r="D9" t="s">
        <v>60</v>
      </c>
      <c r="E9" t="s">
        <v>62</v>
      </c>
      <c r="F9">
        <v>810</v>
      </c>
      <c r="G9">
        <v>0</v>
      </c>
      <c r="H9">
        <v>810</v>
      </c>
    </row>
    <row r="10" spans="1:9" x14ac:dyDescent="0.25">
      <c r="A10">
        <v>10</v>
      </c>
      <c r="B10" s="7">
        <v>44885</v>
      </c>
      <c r="C10" t="s">
        <v>0</v>
      </c>
      <c r="D10" t="s">
        <v>63</v>
      </c>
      <c r="E10" t="s">
        <v>64</v>
      </c>
      <c r="F10">
        <v>3600</v>
      </c>
      <c r="G10">
        <v>800</v>
      </c>
      <c r="H10">
        <v>4400</v>
      </c>
    </row>
    <row r="11" spans="1:9" x14ac:dyDescent="0.25">
      <c r="A11">
        <v>11</v>
      </c>
      <c r="B11" s="7">
        <v>44880</v>
      </c>
      <c r="C11" t="s">
        <v>1</v>
      </c>
      <c r="D11" t="s">
        <v>63</v>
      </c>
      <c r="E11" t="s">
        <v>65</v>
      </c>
      <c r="F11">
        <v>4171</v>
      </c>
      <c r="G11">
        <v>240</v>
      </c>
      <c r="H11">
        <v>4411</v>
      </c>
    </row>
    <row r="12" spans="1:9" x14ac:dyDescent="0.25">
      <c r="A12">
        <v>12</v>
      </c>
      <c r="B12" s="7">
        <v>44870</v>
      </c>
      <c r="C12" t="s">
        <v>0</v>
      </c>
      <c r="D12" t="s">
        <v>56</v>
      </c>
      <c r="E12" t="s">
        <v>66</v>
      </c>
      <c r="F12">
        <v>2300</v>
      </c>
      <c r="G12">
        <v>1450</v>
      </c>
      <c r="H12">
        <v>3750</v>
      </c>
    </row>
    <row r="13" spans="1:9" x14ac:dyDescent="0.25">
      <c r="A13">
        <v>13</v>
      </c>
      <c r="B13" s="7">
        <v>44850</v>
      </c>
      <c r="C13" t="s">
        <v>1</v>
      </c>
      <c r="D13" t="s">
        <v>67</v>
      </c>
      <c r="E13" t="s">
        <v>68</v>
      </c>
      <c r="F13">
        <v>5236</v>
      </c>
      <c r="G13">
        <v>0</v>
      </c>
      <c r="H13">
        <v>5236</v>
      </c>
    </row>
    <row r="14" spans="1:9" x14ac:dyDescent="0.25">
      <c r="A14">
        <v>14</v>
      </c>
      <c r="B14" s="7">
        <v>44848</v>
      </c>
      <c r="C14" t="s">
        <v>0</v>
      </c>
      <c r="D14" t="s">
        <v>69</v>
      </c>
      <c r="E14" t="s">
        <v>70</v>
      </c>
      <c r="F14">
        <v>3300</v>
      </c>
      <c r="G14">
        <v>1100</v>
      </c>
      <c r="H14">
        <v>4400</v>
      </c>
    </row>
    <row r="15" spans="1:9" x14ac:dyDescent="0.25">
      <c r="A15">
        <v>15</v>
      </c>
      <c r="B15" s="7">
        <v>44847</v>
      </c>
      <c r="C15" t="s">
        <v>2</v>
      </c>
      <c r="D15" t="s">
        <v>3</v>
      </c>
      <c r="E15" t="s">
        <v>8</v>
      </c>
      <c r="F15">
        <v>3180</v>
      </c>
      <c r="G15">
        <v>0</v>
      </c>
      <c r="H15">
        <v>3180</v>
      </c>
    </row>
    <row r="16" spans="1:9" x14ac:dyDescent="0.25">
      <c r="A16">
        <v>16</v>
      </c>
      <c r="B16" s="7">
        <v>44847</v>
      </c>
      <c r="C16" t="s">
        <v>2</v>
      </c>
      <c r="D16" t="s">
        <v>3</v>
      </c>
      <c r="E16" t="s">
        <v>7</v>
      </c>
      <c r="F16">
        <v>2180</v>
      </c>
      <c r="G16">
        <v>0</v>
      </c>
      <c r="H16">
        <v>2180</v>
      </c>
    </row>
    <row r="17" spans="1:8" x14ac:dyDescent="0.25">
      <c r="A17">
        <v>17</v>
      </c>
      <c r="B17" s="7">
        <v>44847</v>
      </c>
      <c r="C17" t="s">
        <v>2</v>
      </c>
      <c r="D17" t="s">
        <v>3</v>
      </c>
      <c r="E17" t="s">
        <v>9</v>
      </c>
      <c r="F17">
        <v>3200</v>
      </c>
      <c r="G17">
        <v>0</v>
      </c>
      <c r="H17">
        <v>3200</v>
      </c>
    </row>
    <row r="18" spans="1:8" x14ac:dyDescent="0.25">
      <c r="A18">
        <v>18</v>
      </c>
      <c r="B18" s="7">
        <v>44846</v>
      </c>
      <c r="C18" t="s">
        <v>2</v>
      </c>
      <c r="D18" t="s">
        <v>3</v>
      </c>
      <c r="E18" t="s">
        <v>11</v>
      </c>
      <c r="F18">
        <v>2165</v>
      </c>
      <c r="G18">
        <v>0</v>
      </c>
      <c r="H18">
        <v>2165</v>
      </c>
    </row>
    <row r="19" spans="1:8" x14ac:dyDescent="0.25">
      <c r="A19">
        <v>19</v>
      </c>
      <c r="B19" s="7">
        <v>44846</v>
      </c>
      <c r="C19" t="s">
        <v>2</v>
      </c>
      <c r="D19" t="s">
        <v>3</v>
      </c>
      <c r="E19" t="s">
        <v>12</v>
      </c>
      <c r="F19">
        <v>3643</v>
      </c>
      <c r="G19">
        <v>0</v>
      </c>
      <c r="H19">
        <v>3643</v>
      </c>
    </row>
    <row r="20" spans="1:8" x14ac:dyDescent="0.25">
      <c r="A20">
        <v>20</v>
      </c>
      <c r="B20" s="7">
        <v>44846</v>
      </c>
      <c r="C20" t="s">
        <v>2</v>
      </c>
      <c r="D20" t="s">
        <v>3</v>
      </c>
      <c r="E20" t="s">
        <v>13</v>
      </c>
      <c r="F20">
        <v>3080</v>
      </c>
      <c r="G20">
        <v>0</v>
      </c>
      <c r="H20">
        <v>3080</v>
      </c>
    </row>
    <row r="21" spans="1:8" x14ac:dyDescent="0.25">
      <c r="A21">
        <v>21</v>
      </c>
      <c r="B21" s="7">
        <v>44846</v>
      </c>
      <c r="C21" t="s">
        <v>2</v>
      </c>
      <c r="D21" t="s">
        <v>3</v>
      </c>
      <c r="E21" t="s">
        <v>10</v>
      </c>
      <c r="F21">
        <v>2945</v>
      </c>
      <c r="G21">
        <v>0</v>
      </c>
      <c r="H21">
        <v>2945</v>
      </c>
    </row>
    <row r="22" spans="1:8" x14ac:dyDescent="0.25">
      <c r="A22">
        <v>22</v>
      </c>
      <c r="B22" s="7">
        <v>44842</v>
      </c>
      <c r="C22" t="s">
        <v>2</v>
      </c>
      <c r="D22" t="s">
        <v>67</v>
      </c>
      <c r="E22" t="s">
        <v>71</v>
      </c>
      <c r="F22">
        <v>2020</v>
      </c>
      <c r="G22">
        <v>0</v>
      </c>
      <c r="H22">
        <v>2020</v>
      </c>
    </row>
    <row r="23" spans="1:8" x14ac:dyDescent="0.25">
      <c r="A23">
        <v>23</v>
      </c>
      <c r="B23" s="7">
        <v>44836</v>
      </c>
      <c r="C23" t="s">
        <v>0</v>
      </c>
      <c r="D23" t="s">
        <v>67</v>
      </c>
      <c r="E23" t="s">
        <v>72</v>
      </c>
      <c r="F23">
        <v>1551</v>
      </c>
      <c r="G23">
        <v>710</v>
      </c>
      <c r="H23">
        <v>2261</v>
      </c>
    </row>
    <row r="24" spans="1:8" x14ac:dyDescent="0.25">
      <c r="A24">
        <v>24</v>
      </c>
      <c r="B24" s="7">
        <v>44836</v>
      </c>
      <c r="C24" t="s">
        <v>0</v>
      </c>
      <c r="D24" t="s">
        <v>67</v>
      </c>
      <c r="E24" t="s">
        <v>73</v>
      </c>
      <c r="F24">
        <v>1980</v>
      </c>
      <c r="G24">
        <v>350</v>
      </c>
      <c r="H24">
        <v>2330</v>
      </c>
    </row>
    <row r="25" spans="1:8" x14ac:dyDescent="0.25">
      <c r="A25">
        <v>25</v>
      </c>
      <c r="B25" s="7">
        <v>44835</v>
      </c>
      <c r="C25" t="s">
        <v>0</v>
      </c>
      <c r="D25" t="s">
        <v>63</v>
      </c>
      <c r="E25" t="s">
        <v>74</v>
      </c>
      <c r="F25">
        <v>4081</v>
      </c>
      <c r="G25">
        <v>1219</v>
      </c>
      <c r="H25">
        <v>5300</v>
      </c>
    </row>
    <row r="26" spans="1:8" x14ac:dyDescent="0.25">
      <c r="A26">
        <v>26</v>
      </c>
      <c r="B26" s="7">
        <v>44834</v>
      </c>
      <c r="C26" t="s">
        <v>1</v>
      </c>
      <c r="D26" t="s">
        <v>63</v>
      </c>
      <c r="E26" t="s">
        <v>75</v>
      </c>
      <c r="F26">
        <v>3696</v>
      </c>
      <c r="G26">
        <v>220</v>
      </c>
      <c r="H26">
        <v>3916</v>
      </c>
    </row>
    <row r="27" spans="1:8" x14ac:dyDescent="0.25">
      <c r="A27">
        <v>27</v>
      </c>
      <c r="B27" s="7">
        <v>44825</v>
      </c>
      <c r="C27" t="s">
        <v>14</v>
      </c>
      <c r="D27" t="s">
        <v>69</v>
      </c>
      <c r="E27" t="s">
        <v>76</v>
      </c>
      <c r="F27">
        <v>799</v>
      </c>
      <c r="G27">
        <v>0</v>
      </c>
      <c r="H27">
        <v>799</v>
      </c>
    </row>
    <row r="28" spans="1:8" x14ac:dyDescent="0.25">
      <c r="A28">
        <v>28</v>
      </c>
      <c r="B28" s="7">
        <v>44821</v>
      </c>
      <c r="C28" t="s">
        <v>15</v>
      </c>
      <c r="D28" t="s">
        <v>77</v>
      </c>
      <c r="E28" t="s">
        <v>78</v>
      </c>
      <c r="F28">
        <v>8580</v>
      </c>
      <c r="G28">
        <v>0</v>
      </c>
      <c r="H28">
        <v>8580</v>
      </c>
    </row>
    <row r="29" spans="1:8" x14ac:dyDescent="0.25">
      <c r="A29">
        <v>29</v>
      </c>
      <c r="B29" s="7">
        <v>44811</v>
      </c>
      <c r="C29" t="s">
        <v>2</v>
      </c>
      <c r="D29" t="s">
        <v>79</v>
      </c>
      <c r="E29" t="s">
        <v>80</v>
      </c>
      <c r="F29">
        <v>3680</v>
      </c>
      <c r="G29">
        <v>0</v>
      </c>
      <c r="H29">
        <v>3680</v>
      </c>
    </row>
    <row r="30" spans="1:8" x14ac:dyDescent="0.25">
      <c r="A30">
        <v>30</v>
      </c>
      <c r="B30" s="7">
        <v>44811</v>
      </c>
      <c r="C30" t="s">
        <v>2</v>
      </c>
      <c r="D30" t="s">
        <v>81</v>
      </c>
      <c r="E30" t="s">
        <v>82</v>
      </c>
      <c r="F30">
        <v>6280</v>
      </c>
      <c r="G30">
        <v>0</v>
      </c>
      <c r="H30">
        <v>6280</v>
      </c>
    </row>
    <row r="31" spans="1:8" x14ac:dyDescent="0.25">
      <c r="A31">
        <v>31</v>
      </c>
      <c r="B31" s="7">
        <v>44801</v>
      </c>
      <c r="C31" t="s">
        <v>2</v>
      </c>
      <c r="D31" t="s">
        <v>60</v>
      </c>
      <c r="E31" t="s">
        <v>83</v>
      </c>
      <c r="F31">
        <v>680</v>
      </c>
      <c r="G31">
        <v>0</v>
      </c>
      <c r="H31">
        <v>680</v>
      </c>
    </row>
    <row r="32" spans="1:8" x14ac:dyDescent="0.25">
      <c r="A32">
        <v>32</v>
      </c>
      <c r="B32" s="7">
        <v>44791</v>
      </c>
      <c r="C32" t="s">
        <v>2</v>
      </c>
      <c r="D32" t="s">
        <v>60</v>
      </c>
      <c r="E32" t="s">
        <v>84</v>
      </c>
      <c r="F32">
        <v>7900</v>
      </c>
      <c r="G32">
        <v>990</v>
      </c>
      <c r="H32">
        <v>8890</v>
      </c>
    </row>
    <row r="33" spans="1:8" x14ac:dyDescent="0.25">
      <c r="A33">
        <v>33</v>
      </c>
      <c r="B33" s="7">
        <v>44791</v>
      </c>
      <c r="C33" t="s">
        <v>2</v>
      </c>
      <c r="D33" t="s">
        <v>60</v>
      </c>
      <c r="E33" t="s">
        <v>85</v>
      </c>
      <c r="F33">
        <v>1888</v>
      </c>
      <c r="G33">
        <v>0</v>
      </c>
      <c r="H33">
        <v>1888</v>
      </c>
    </row>
    <row r="34" spans="1:8" x14ac:dyDescent="0.25">
      <c r="A34">
        <v>34</v>
      </c>
      <c r="B34" s="7">
        <v>44789</v>
      </c>
      <c r="C34" t="s">
        <v>14</v>
      </c>
      <c r="D34" t="s">
        <v>69</v>
      </c>
      <c r="E34" t="s">
        <v>86</v>
      </c>
      <c r="F34">
        <v>5000</v>
      </c>
      <c r="G34">
        <v>0</v>
      </c>
      <c r="H34">
        <v>5000</v>
      </c>
    </row>
    <row r="35" spans="1:8" x14ac:dyDescent="0.25">
      <c r="A35">
        <v>35</v>
      </c>
      <c r="B35" s="7">
        <v>44764</v>
      </c>
      <c r="C35" t="s">
        <v>0</v>
      </c>
      <c r="D35" t="s">
        <v>69</v>
      </c>
      <c r="E35" t="s">
        <v>87</v>
      </c>
      <c r="F35">
        <v>3000</v>
      </c>
      <c r="G35">
        <v>520</v>
      </c>
      <c r="H35">
        <v>3520</v>
      </c>
    </row>
    <row r="36" spans="1:8" x14ac:dyDescent="0.25">
      <c r="A36">
        <v>36</v>
      </c>
      <c r="B36" s="7">
        <v>44759</v>
      </c>
      <c r="C36" t="s">
        <v>2</v>
      </c>
      <c r="D36" t="s">
        <v>67</v>
      </c>
      <c r="E36" t="s">
        <v>88</v>
      </c>
      <c r="F36">
        <v>3280</v>
      </c>
      <c r="G36">
        <v>0</v>
      </c>
      <c r="H36">
        <v>3280</v>
      </c>
    </row>
    <row r="37" spans="1:8" x14ac:dyDescent="0.25">
      <c r="A37">
        <v>37</v>
      </c>
      <c r="B37" s="7">
        <v>44733</v>
      </c>
      <c r="C37" t="s">
        <v>2</v>
      </c>
      <c r="D37" t="s">
        <v>79</v>
      </c>
      <c r="E37" t="s">
        <v>89</v>
      </c>
      <c r="F37">
        <v>2100</v>
      </c>
      <c r="G37">
        <v>0</v>
      </c>
      <c r="H37">
        <v>2100</v>
      </c>
    </row>
    <row r="38" spans="1:8" x14ac:dyDescent="0.25">
      <c r="A38">
        <v>38</v>
      </c>
      <c r="B38" s="7">
        <v>44733</v>
      </c>
      <c r="C38" t="s">
        <v>2</v>
      </c>
      <c r="D38" t="s">
        <v>79</v>
      </c>
      <c r="E38" t="s">
        <v>90</v>
      </c>
      <c r="F38">
        <v>1983</v>
      </c>
      <c r="G38">
        <v>0</v>
      </c>
      <c r="H38">
        <v>1983</v>
      </c>
    </row>
    <row r="39" spans="1:8" x14ac:dyDescent="0.25">
      <c r="A39">
        <v>39</v>
      </c>
      <c r="B39" s="7">
        <v>44733</v>
      </c>
      <c r="C39" t="s">
        <v>2</v>
      </c>
      <c r="D39" t="s">
        <v>79</v>
      </c>
      <c r="E39" t="s">
        <v>91</v>
      </c>
      <c r="F39">
        <v>1191</v>
      </c>
      <c r="G39">
        <v>0</v>
      </c>
      <c r="H39">
        <v>1191</v>
      </c>
    </row>
    <row r="40" spans="1:8" x14ac:dyDescent="0.25">
      <c r="A40">
        <v>40</v>
      </c>
      <c r="B40" s="7">
        <v>44723</v>
      </c>
      <c r="C40" t="s">
        <v>0</v>
      </c>
      <c r="D40" t="s">
        <v>63</v>
      </c>
      <c r="E40" t="s">
        <v>92</v>
      </c>
      <c r="F40">
        <v>1300</v>
      </c>
      <c r="G40">
        <v>444</v>
      </c>
      <c r="H40">
        <v>1744</v>
      </c>
    </row>
    <row r="41" spans="1:8" x14ac:dyDescent="0.25">
      <c r="A41">
        <v>41</v>
      </c>
      <c r="B41" s="7">
        <v>44709</v>
      </c>
      <c r="C41" t="s">
        <v>0</v>
      </c>
      <c r="D41" t="s">
        <v>63</v>
      </c>
      <c r="E41" t="s">
        <v>93</v>
      </c>
      <c r="F41">
        <v>2000</v>
      </c>
      <c r="G41">
        <v>873</v>
      </c>
      <c r="H41">
        <v>2873</v>
      </c>
    </row>
    <row r="42" spans="1:8" x14ac:dyDescent="0.25">
      <c r="A42">
        <v>42</v>
      </c>
      <c r="B42" s="7">
        <v>44705</v>
      </c>
      <c r="C42" t="s">
        <v>1</v>
      </c>
      <c r="D42" t="s">
        <v>63</v>
      </c>
      <c r="E42" t="s">
        <v>94</v>
      </c>
      <c r="F42">
        <v>8217</v>
      </c>
      <c r="G42">
        <v>0</v>
      </c>
      <c r="H42">
        <v>8217</v>
      </c>
    </row>
    <row r="43" spans="1:8" x14ac:dyDescent="0.25">
      <c r="A43">
        <v>43</v>
      </c>
      <c r="B43" s="7">
        <v>44667</v>
      </c>
      <c r="C43" t="s">
        <v>0</v>
      </c>
      <c r="D43" t="s">
        <v>69</v>
      </c>
      <c r="E43" t="s">
        <v>95</v>
      </c>
      <c r="F43">
        <v>3380</v>
      </c>
      <c r="G43">
        <v>0</v>
      </c>
      <c r="H43">
        <v>3380</v>
      </c>
    </row>
    <row r="44" spans="1:8" x14ac:dyDescent="0.25">
      <c r="A44">
        <v>44</v>
      </c>
      <c r="B44" s="7">
        <v>44667</v>
      </c>
      <c r="C44" t="s">
        <v>0</v>
      </c>
      <c r="D44" t="s">
        <v>69</v>
      </c>
      <c r="E44" t="s">
        <v>96</v>
      </c>
      <c r="F44">
        <v>3000</v>
      </c>
      <c r="G44">
        <v>700</v>
      </c>
      <c r="H44">
        <v>3700</v>
      </c>
    </row>
    <row r="45" spans="1:8" x14ac:dyDescent="0.25">
      <c r="A45">
        <v>45</v>
      </c>
      <c r="B45" s="7">
        <v>44633</v>
      </c>
      <c r="C45" t="s">
        <v>0</v>
      </c>
      <c r="D45" t="s">
        <v>97</v>
      </c>
      <c r="E45" t="s">
        <v>98</v>
      </c>
      <c r="F45">
        <v>1800</v>
      </c>
      <c r="G45">
        <v>765</v>
      </c>
      <c r="H45">
        <v>2565</v>
      </c>
    </row>
    <row r="46" spans="1:8" x14ac:dyDescent="0.25">
      <c r="A46">
        <v>46</v>
      </c>
      <c r="B46" s="7">
        <v>44633</v>
      </c>
      <c r="C46" t="s">
        <v>0</v>
      </c>
      <c r="D46" t="s">
        <v>63</v>
      </c>
      <c r="E46" t="s">
        <v>99</v>
      </c>
      <c r="F46">
        <v>2300</v>
      </c>
      <c r="G46">
        <v>870</v>
      </c>
      <c r="H46">
        <v>3170</v>
      </c>
    </row>
    <row r="47" spans="1:8" x14ac:dyDescent="0.25">
      <c r="A47">
        <v>47</v>
      </c>
      <c r="B47" s="7">
        <v>44632</v>
      </c>
      <c r="C47" t="s">
        <v>0</v>
      </c>
      <c r="D47" t="s">
        <v>97</v>
      </c>
      <c r="E47" t="s">
        <v>100</v>
      </c>
      <c r="F47">
        <v>5800</v>
      </c>
      <c r="G47">
        <v>981</v>
      </c>
      <c r="H47">
        <v>6781</v>
      </c>
    </row>
    <row r="48" spans="1:8" x14ac:dyDescent="0.25">
      <c r="A48">
        <v>48</v>
      </c>
      <c r="B48" s="7">
        <v>44632</v>
      </c>
      <c r="C48" t="s">
        <v>14</v>
      </c>
      <c r="D48" t="s">
        <v>101</v>
      </c>
      <c r="E48" t="s">
        <v>102</v>
      </c>
      <c r="F48">
        <v>3240</v>
      </c>
      <c r="G48">
        <v>0</v>
      </c>
      <c r="H48">
        <v>3240</v>
      </c>
    </row>
    <row r="49" spans="1:8" x14ac:dyDescent="0.25">
      <c r="A49">
        <v>49</v>
      </c>
      <c r="B49" s="7">
        <v>44630</v>
      </c>
      <c r="C49" t="s">
        <v>0</v>
      </c>
      <c r="D49" t="s">
        <v>69</v>
      </c>
      <c r="E49" t="s">
        <v>103</v>
      </c>
      <c r="F49">
        <v>2739</v>
      </c>
      <c r="G49">
        <v>1210</v>
      </c>
      <c r="H49">
        <v>3949</v>
      </c>
    </row>
    <row r="50" spans="1:8" x14ac:dyDescent="0.25">
      <c r="A50">
        <v>50</v>
      </c>
      <c r="B50" s="7">
        <v>44630</v>
      </c>
      <c r="C50" t="s">
        <v>0</v>
      </c>
      <c r="D50" t="s">
        <v>97</v>
      </c>
      <c r="E50" t="s">
        <v>104</v>
      </c>
      <c r="F50">
        <v>750</v>
      </c>
      <c r="G50">
        <v>510</v>
      </c>
      <c r="H50">
        <v>1260</v>
      </c>
    </row>
    <row r="51" spans="1:8" x14ac:dyDescent="0.25">
      <c r="A51">
        <v>51</v>
      </c>
      <c r="B51" s="7">
        <v>44627</v>
      </c>
      <c r="C51" t="s">
        <v>14</v>
      </c>
      <c r="D51" t="s">
        <v>69</v>
      </c>
      <c r="E51" t="s">
        <v>105</v>
      </c>
      <c r="F51">
        <v>499</v>
      </c>
      <c r="G51">
        <v>0</v>
      </c>
      <c r="H51">
        <v>499</v>
      </c>
    </row>
    <row r="52" spans="1:8" x14ac:dyDescent="0.25">
      <c r="A52">
        <v>52</v>
      </c>
      <c r="B52" s="7">
        <v>44625</v>
      </c>
      <c r="C52" t="s">
        <v>0</v>
      </c>
      <c r="D52" t="s">
        <v>97</v>
      </c>
      <c r="E52" t="s">
        <v>106</v>
      </c>
      <c r="F52">
        <v>3500</v>
      </c>
      <c r="G52">
        <v>680</v>
      </c>
      <c r="H52">
        <v>4180</v>
      </c>
    </row>
    <row r="53" spans="1:8" x14ac:dyDescent="0.25">
      <c r="A53">
        <v>53</v>
      </c>
      <c r="B53" s="7">
        <v>44619</v>
      </c>
      <c r="C53" t="s">
        <v>0</v>
      </c>
      <c r="D53" t="s">
        <v>97</v>
      </c>
      <c r="E53" t="s">
        <v>107</v>
      </c>
      <c r="F53">
        <v>1000</v>
      </c>
      <c r="G53">
        <v>765</v>
      </c>
      <c r="H53">
        <v>1765</v>
      </c>
    </row>
    <row r="54" spans="1:8" x14ac:dyDescent="0.25">
      <c r="A54">
        <v>54</v>
      </c>
      <c r="B54" s="7">
        <v>44573</v>
      </c>
      <c r="C54" t="s">
        <v>0</v>
      </c>
      <c r="D54" t="s">
        <v>97</v>
      </c>
      <c r="E54" t="s">
        <v>108</v>
      </c>
      <c r="F54">
        <v>810</v>
      </c>
      <c r="G54">
        <v>220</v>
      </c>
      <c r="H54">
        <v>1030</v>
      </c>
    </row>
    <row r="55" spans="1:8" x14ac:dyDescent="0.25">
      <c r="A55">
        <v>55</v>
      </c>
      <c r="B55" s="7">
        <v>44571</v>
      </c>
      <c r="C55" t="s">
        <v>0</v>
      </c>
      <c r="D55" t="s">
        <v>63</v>
      </c>
      <c r="E55" t="s">
        <v>109</v>
      </c>
      <c r="F55">
        <v>2900</v>
      </c>
      <c r="G55">
        <v>930</v>
      </c>
      <c r="H55">
        <v>3830</v>
      </c>
    </row>
    <row r="56" spans="1:8" x14ac:dyDescent="0.25">
      <c r="A56">
        <v>56</v>
      </c>
      <c r="B56" s="7">
        <v>44565</v>
      </c>
      <c r="C56" t="s">
        <v>0</v>
      </c>
      <c r="D56" t="s">
        <v>97</v>
      </c>
      <c r="E56" t="s">
        <v>110</v>
      </c>
      <c r="F56">
        <v>1306</v>
      </c>
      <c r="G56">
        <v>520</v>
      </c>
      <c r="H56">
        <v>1826</v>
      </c>
    </row>
    <row r="57" spans="1:8" x14ac:dyDescent="0.25">
      <c r="A57">
        <v>57</v>
      </c>
      <c r="B57" s="7">
        <v>44557</v>
      </c>
      <c r="C57" t="s">
        <v>0</v>
      </c>
      <c r="D57" t="s">
        <v>97</v>
      </c>
      <c r="E57" t="s">
        <v>111</v>
      </c>
      <c r="F57">
        <v>800</v>
      </c>
      <c r="G57">
        <v>1200</v>
      </c>
      <c r="H57">
        <v>2000</v>
      </c>
    </row>
    <row r="58" spans="1:8" x14ac:dyDescent="0.25">
      <c r="A58">
        <v>58</v>
      </c>
      <c r="B58" s="7">
        <v>44555</v>
      </c>
      <c r="C58" t="s">
        <v>0</v>
      </c>
      <c r="D58" t="s">
        <v>69</v>
      </c>
      <c r="E58" t="s">
        <v>112</v>
      </c>
      <c r="F58">
        <v>2000</v>
      </c>
      <c r="G58">
        <v>300</v>
      </c>
      <c r="H58">
        <v>2300</v>
      </c>
    </row>
    <row r="59" spans="1:8" x14ac:dyDescent="0.25">
      <c r="A59">
        <v>59</v>
      </c>
      <c r="B59" s="7">
        <v>44548</v>
      </c>
      <c r="C59" t="s">
        <v>0</v>
      </c>
      <c r="D59" t="s">
        <v>97</v>
      </c>
      <c r="E59" t="s">
        <v>113</v>
      </c>
      <c r="F59">
        <v>800</v>
      </c>
      <c r="G59">
        <v>765</v>
      </c>
      <c r="H59">
        <v>1565</v>
      </c>
    </row>
    <row r="60" spans="1:8" x14ac:dyDescent="0.25">
      <c r="A60">
        <v>60</v>
      </c>
      <c r="B60" s="7">
        <v>44534</v>
      </c>
      <c r="C60" t="s">
        <v>2</v>
      </c>
      <c r="D60" t="s">
        <v>56</v>
      </c>
      <c r="E60" t="s">
        <v>114</v>
      </c>
      <c r="F60">
        <v>3081</v>
      </c>
      <c r="G60">
        <v>0</v>
      </c>
      <c r="H60">
        <v>3081</v>
      </c>
    </row>
    <row r="61" spans="1:8" x14ac:dyDescent="0.25">
      <c r="A61">
        <v>61</v>
      </c>
      <c r="B61" s="7">
        <v>44532</v>
      </c>
      <c r="C61" t="s">
        <v>0</v>
      </c>
      <c r="D61" t="s">
        <v>69</v>
      </c>
      <c r="E61" t="s">
        <v>115</v>
      </c>
      <c r="F61">
        <v>2600</v>
      </c>
      <c r="G61">
        <v>510</v>
      </c>
      <c r="H61">
        <v>3110</v>
      </c>
    </row>
    <row r="62" spans="1:8" x14ac:dyDescent="0.25">
      <c r="A62">
        <v>62</v>
      </c>
      <c r="B62" s="7">
        <v>44528</v>
      </c>
      <c r="C62" t="s">
        <v>0</v>
      </c>
      <c r="D62" t="s">
        <v>116</v>
      </c>
      <c r="E62" t="s">
        <v>117</v>
      </c>
      <c r="F62">
        <v>1765</v>
      </c>
      <c r="G62">
        <v>0</v>
      </c>
      <c r="H62">
        <v>1765</v>
      </c>
    </row>
    <row r="63" spans="1:8" x14ac:dyDescent="0.25">
      <c r="A63">
        <v>63</v>
      </c>
      <c r="B63" s="7">
        <v>44510</v>
      </c>
      <c r="C63" t="s">
        <v>0</v>
      </c>
      <c r="D63" t="s">
        <v>116</v>
      </c>
      <c r="E63" t="s">
        <v>117</v>
      </c>
      <c r="F63">
        <v>4300</v>
      </c>
      <c r="G63">
        <v>0</v>
      </c>
      <c r="H63">
        <v>4300</v>
      </c>
    </row>
    <row r="64" spans="1:8" x14ac:dyDescent="0.25">
      <c r="A64">
        <v>64</v>
      </c>
      <c r="B64" s="7">
        <v>44500</v>
      </c>
      <c r="C64" t="s">
        <v>0</v>
      </c>
      <c r="D64" t="s">
        <v>116</v>
      </c>
      <c r="E64" t="s">
        <v>117</v>
      </c>
      <c r="F64">
        <v>1300</v>
      </c>
      <c r="G64">
        <v>0</v>
      </c>
      <c r="H64">
        <v>1300</v>
      </c>
    </row>
    <row r="65" spans="1:8" x14ac:dyDescent="0.25">
      <c r="A65">
        <v>65</v>
      </c>
      <c r="B65" s="7">
        <v>44498</v>
      </c>
      <c r="C65" t="s">
        <v>0</v>
      </c>
      <c r="D65" t="s">
        <v>69</v>
      </c>
      <c r="E65" t="s">
        <v>117</v>
      </c>
      <c r="F65">
        <v>10000</v>
      </c>
      <c r="G65">
        <v>0</v>
      </c>
      <c r="H65">
        <v>10000</v>
      </c>
    </row>
    <row r="66" spans="1:8" x14ac:dyDescent="0.25">
      <c r="A66">
        <v>66</v>
      </c>
      <c r="B66" s="7">
        <v>44492</v>
      </c>
      <c r="C66" t="s">
        <v>0</v>
      </c>
      <c r="D66" t="s">
        <v>116</v>
      </c>
      <c r="E66" t="s">
        <v>117</v>
      </c>
      <c r="F66">
        <v>2000</v>
      </c>
      <c r="G66">
        <v>0</v>
      </c>
      <c r="H66">
        <v>2000</v>
      </c>
    </row>
    <row r="67" spans="1:8" x14ac:dyDescent="0.25">
      <c r="A67">
        <v>67</v>
      </c>
      <c r="B67" s="7">
        <v>44481</v>
      </c>
      <c r="C67" t="s">
        <v>0</v>
      </c>
      <c r="D67" t="s">
        <v>116</v>
      </c>
      <c r="E67" t="s">
        <v>117</v>
      </c>
      <c r="F67">
        <v>1510</v>
      </c>
      <c r="G67">
        <v>0</v>
      </c>
      <c r="H67">
        <v>1510</v>
      </c>
    </row>
    <row r="68" spans="1:8" x14ac:dyDescent="0.25">
      <c r="A68">
        <v>68</v>
      </c>
      <c r="B68" s="7">
        <v>44480</v>
      </c>
      <c r="C68" t="s">
        <v>0</v>
      </c>
      <c r="D68" t="s">
        <v>116</v>
      </c>
      <c r="E68" t="s">
        <v>117</v>
      </c>
      <c r="F68">
        <v>2012</v>
      </c>
      <c r="G68">
        <v>0</v>
      </c>
      <c r="H68">
        <v>2012</v>
      </c>
    </row>
    <row r="69" spans="1:8" x14ac:dyDescent="0.25">
      <c r="A69">
        <v>69</v>
      </c>
      <c r="B69" s="7">
        <v>44472</v>
      </c>
      <c r="C69" t="s">
        <v>0</v>
      </c>
      <c r="D69" t="s">
        <v>116</v>
      </c>
      <c r="E69" t="s">
        <v>117</v>
      </c>
      <c r="F69">
        <v>1811</v>
      </c>
      <c r="G69">
        <v>0</v>
      </c>
      <c r="H69">
        <v>1811</v>
      </c>
    </row>
    <row r="70" spans="1:8" x14ac:dyDescent="0.25">
      <c r="A70">
        <v>70</v>
      </c>
      <c r="B70" s="7">
        <v>44467</v>
      </c>
      <c r="C70" t="s">
        <v>0</v>
      </c>
      <c r="D70" t="s">
        <v>97</v>
      </c>
      <c r="E70" t="s">
        <v>118</v>
      </c>
      <c r="F70">
        <v>620</v>
      </c>
      <c r="G70">
        <v>510</v>
      </c>
      <c r="H70">
        <v>1130</v>
      </c>
    </row>
    <row r="71" spans="1:8" x14ac:dyDescent="0.25">
      <c r="A71">
        <v>71</v>
      </c>
      <c r="B71" s="7">
        <v>44461</v>
      </c>
      <c r="C71" t="s">
        <v>0</v>
      </c>
      <c r="D71" t="s">
        <v>97</v>
      </c>
      <c r="E71" t="s">
        <v>119</v>
      </c>
      <c r="F71">
        <v>4080</v>
      </c>
      <c r="G71">
        <v>910</v>
      </c>
      <c r="H71">
        <v>4990</v>
      </c>
    </row>
    <row r="72" spans="1:8" x14ac:dyDescent="0.25">
      <c r="A72">
        <v>72</v>
      </c>
      <c r="B72" s="7">
        <v>44457</v>
      </c>
      <c r="C72" t="s">
        <v>0</v>
      </c>
      <c r="D72" t="s">
        <v>97</v>
      </c>
      <c r="E72" t="s">
        <v>120</v>
      </c>
      <c r="F72">
        <v>1008</v>
      </c>
      <c r="G72">
        <v>981</v>
      </c>
      <c r="H72">
        <v>1989</v>
      </c>
    </row>
    <row r="73" spans="1:8" x14ac:dyDescent="0.25">
      <c r="A73">
        <v>73</v>
      </c>
      <c r="B73" s="7">
        <v>44455</v>
      </c>
      <c r="C73" t="s">
        <v>0</v>
      </c>
      <c r="D73" t="s">
        <v>97</v>
      </c>
      <c r="E73" t="s">
        <v>121</v>
      </c>
      <c r="F73">
        <v>2015</v>
      </c>
      <c r="G73">
        <v>660</v>
      </c>
      <c r="H73">
        <v>2675</v>
      </c>
    </row>
    <row r="74" spans="1:8" x14ac:dyDescent="0.25">
      <c r="A74">
        <v>74</v>
      </c>
      <c r="B74" s="7">
        <v>44450</v>
      </c>
      <c r="C74" t="s">
        <v>0</v>
      </c>
      <c r="D74" t="s">
        <v>122</v>
      </c>
      <c r="E74" t="s">
        <v>123</v>
      </c>
      <c r="F74">
        <v>910</v>
      </c>
      <c r="G74">
        <v>0</v>
      </c>
      <c r="H74">
        <v>910</v>
      </c>
    </row>
    <row r="75" spans="1:8" x14ac:dyDescent="0.25">
      <c r="A75">
        <v>75</v>
      </c>
      <c r="B75" s="7">
        <v>44447</v>
      </c>
      <c r="C75" t="s">
        <v>0</v>
      </c>
      <c r="D75" t="s">
        <v>97</v>
      </c>
      <c r="E75" t="s">
        <v>124</v>
      </c>
      <c r="F75">
        <v>1200</v>
      </c>
      <c r="G75">
        <v>0</v>
      </c>
      <c r="H75">
        <v>1200</v>
      </c>
    </row>
    <row r="76" spans="1:8" x14ac:dyDescent="0.25">
      <c r="A76">
        <v>76</v>
      </c>
      <c r="B76" s="7">
        <v>44444</v>
      </c>
      <c r="C76" t="s">
        <v>2</v>
      </c>
      <c r="D76" t="s">
        <v>122</v>
      </c>
      <c r="E76" t="s">
        <v>125</v>
      </c>
      <c r="F76">
        <v>1260</v>
      </c>
      <c r="G76">
        <v>410</v>
      </c>
      <c r="H76">
        <v>1670</v>
      </c>
    </row>
    <row r="77" spans="1:8" x14ac:dyDescent="0.25">
      <c r="A77">
        <v>77</v>
      </c>
      <c r="B77" s="7">
        <v>44441</v>
      </c>
      <c r="C77" t="s">
        <v>0</v>
      </c>
      <c r="D77" t="s">
        <v>97</v>
      </c>
      <c r="E77" t="s">
        <v>126</v>
      </c>
      <c r="F77">
        <v>1599</v>
      </c>
      <c r="G77">
        <v>0</v>
      </c>
      <c r="H77">
        <v>1599</v>
      </c>
    </row>
    <row r="78" spans="1:8" x14ac:dyDescent="0.25">
      <c r="A78">
        <v>78</v>
      </c>
      <c r="B78" s="7">
        <v>44436</v>
      </c>
      <c r="C78" t="s">
        <v>0</v>
      </c>
      <c r="D78" t="s">
        <v>97</v>
      </c>
      <c r="E78" t="s">
        <v>127</v>
      </c>
      <c r="F78">
        <v>886</v>
      </c>
      <c r="G78">
        <v>510</v>
      </c>
      <c r="H78">
        <v>1396</v>
      </c>
    </row>
    <row r="79" spans="1:8" x14ac:dyDescent="0.25">
      <c r="A79">
        <v>79</v>
      </c>
      <c r="B79" s="7">
        <v>44431</v>
      </c>
      <c r="C79" t="s">
        <v>0</v>
      </c>
      <c r="D79" t="s">
        <v>128</v>
      </c>
      <c r="E79" t="s">
        <v>129</v>
      </c>
      <c r="F79">
        <v>500</v>
      </c>
      <c r="G79">
        <v>0</v>
      </c>
      <c r="H79">
        <v>500</v>
      </c>
    </row>
    <row r="80" spans="1:8" x14ac:dyDescent="0.25">
      <c r="A80">
        <v>80</v>
      </c>
      <c r="B80" s="7">
        <v>44430</v>
      </c>
      <c r="C80" t="s">
        <v>2</v>
      </c>
      <c r="D80" t="s">
        <v>122</v>
      </c>
      <c r="E80" t="s">
        <v>130</v>
      </c>
      <c r="F80">
        <v>420</v>
      </c>
      <c r="G80">
        <v>410</v>
      </c>
      <c r="H80">
        <v>830</v>
      </c>
    </row>
    <row r="81" spans="1:8" x14ac:dyDescent="0.25">
      <c r="A81">
        <v>81</v>
      </c>
      <c r="B81" s="7">
        <v>44426</v>
      </c>
      <c r="C81" t="s">
        <v>0</v>
      </c>
      <c r="D81" t="s">
        <v>97</v>
      </c>
      <c r="E81" t="s">
        <v>131</v>
      </c>
      <c r="F81">
        <v>6080</v>
      </c>
      <c r="G81">
        <v>1040</v>
      </c>
      <c r="H81">
        <v>7120</v>
      </c>
    </row>
    <row r="82" spans="1:8" x14ac:dyDescent="0.25">
      <c r="A82">
        <v>82</v>
      </c>
      <c r="B82" s="7">
        <v>44425</v>
      </c>
      <c r="C82" t="s">
        <v>0</v>
      </c>
      <c r="D82" t="s">
        <v>60</v>
      </c>
      <c r="E82" t="s">
        <v>132</v>
      </c>
      <c r="F82">
        <v>341</v>
      </c>
      <c r="G82">
        <v>0</v>
      </c>
      <c r="H82">
        <v>341</v>
      </c>
    </row>
    <row r="83" spans="1:8" x14ac:dyDescent="0.25">
      <c r="A83">
        <v>83</v>
      </c>
      <c r="B83" s="7">
        <v>44422</v>
      </c>
      <c r="C83" t="s">
        <v>0</v>
      </c>
      <c r="D83" t="s">
        <v>97</v>
      </c>
      <c r="E83" t="s">
        <v>133</v>
      </c>
      <c r="F83">
        <v>2800</v>
      </c>
      <c r="G83">
        <v>1040</v>
      </c>
      <c r="H83">
        <v>3840</v>
      </c>
    </row>
    <row r="84" spans="1:8" x14ac:dyDescent="0.25">
      <c r="A84">
        <v>84</v>
      </c>
      <c r="B84" s="7">
        <v>44420</v>
      </c>
      <c r="C84" t="s">
        <v>0</v>
      </c>
      <c r="D84" t="s">
        <v>60</v>
      </c>
      <c r="E84" t="s">
        <v>134</v>
      </c>
      <c r="F84">
        <v>1191</v>
      </c>
      <c r="G84">
        <v>0</v>
      </c>
      <c r="H84">
        <v>1191</v>
      </c>
    </row>
    <row r="85" spans="1:8" x14ac:dyDescent="0.25">
      <c r="A85">
        <v>85</v>
      </c>
      <c r="B85" s="7">
        <v>44418</v>
      </c>
      <c r="C85" t="s">
        <v>14</v>
      </c>
      <c r="D85" t="s">
        <v>128</v>
      </c>
      <c r="E85" t="s">
        <v>135</v>
      </c>
      <c r="F85">
        <v>1000</v>
      </c>
      <c r="G85">
        <v>0</v>
      </c>
      <c r="H85">
        <v>1000</v>
      </c>
    </row>
    <row r="86" spans="1:8" x14ac:dyDescent="0.25">
      <c r="A86">
        <v>86</v>
      </c>
      <c r="B86" s="7">
        <v>44417</v>
      </c>
      <c r="C86" t="s">
        <v>0</v>
      </c>
      <c r="D86" t="s">
        <v>128</v>
      </c>
      <c r="E86" t="s">
        <v>136</v>
      </c>
      <c r="F86">
        <v>850</v>
      </c>
      <c r="G86">
        <v>710</v>
      </c>
      <c r="H86">
        <v>1560</v>
      </c>
    </row>
    <row r="87" spans="1:8" x14ac:dyDescent="0.25">
      <c r="A87">
        <v>87</v>
      </c>
      <c r="B87" s="7">
        <v>44417</v>
      </c>
      <c r="C87" t="s">
        <v>0</v>
      </c>
      <c r="D87" t="s">
        <v>97</v>
      </c>
      <c r="E87" t="s">
        <v>137</v>
      </c>
      <c r="F87">
        <v>1940</v>
      </c>
      <c r="G87">
        <v>756</v>
      </c>
      <c r="H87">
        <v>2495</v>
      </c>
    </row>
    <row r="88" spans="1:8" x14ac:dyDescent="0.25">
      <c r="A88">
        <v>88</v>
      </c>
      <c r="B88" s="7">
        <v>44417</v>
      </c>
      <c r="C88" t="s">
        <v>0</v>
      </c>
      <c r="D88" t="s">
        <v>128</v>
      </c>
      <c r="E88" t="s">
        <v>138</v>
      </c>
      <c r="F88">
        <v>5400</v>
      </c>
      <c r="G88">
        <v>1219</v>
      </c>
      <c r="H88">
        <v>6619</v>
      </c>
    </row>
    <row r="89" spans="1:8" x14ac:dyDescent="0.25">
      <c r="A89">
        <v>89</v>
      </c>
      <c r="B89" s="7">
        <v>44413</v>
      </c>
      <c r="C89" t="s">
        <v>0</v>
      </c>
      <c r="D89" t="s">
        <v>97</v>
      </c>
      <c r="E89" t="s">
        <v>139</v>
      </c>
      <c r="F89">
        <v>3575</v>
      </c>
      <c r="G89">
        <v>1465</v>
      </c>
      <c r="H89">
        <v>5040</v>
      </c>
    </row>
    <row r="90" spans="1:8" x14ac:dyDescent="0.25">
      <c r="A90">
        <v>90</v>
      </c>
      <c r="B90" s="7">
        <v>44413</v>
      </c>
      <c r="C90" t="s">
        <v>0</v>
      </c>
      <c r="D90" t="s">
        <v>69</v>
      </c>
      <c r="E90" t="s">
        <v>140</v>
      </c>
      <c r="F90">
        <v>8000</v>
      </c>
      <c r="G90">
        <v>800</v>
      </c>
      <c r="H90">
        <v>8800</v>
      </c>
    </row>
    <row r="91" spans="1:8" x14ac:dyDescent="0.25">
      <c r="A91">
        <v>91</v>
      </c>
      <c r="B91" s="7">
        <v>44411</v>
      </c>
      <c r="C91" t="s">
        <v>0</v>
      </c>
      <c r="D91" t="s">
        <v>128</v>
      </c>
      <c r="E91" t="s">
        <v>141</v>
      </c>
      <c r="F91">
        <v>5000</v>
      </c>
      <c r="G91">
        <v>0</v>
      </c>
      <c r="H91">
        <v>5000</v>
      </c>
    </row>
    <row r="92" spans="1:8" x14ac:dyDescent="0.25">
      <c r="A92">
        <v>92</v>
      </c>
      <c r="B92" s="7">
        <v>44409</v>
      </c>
      <c r="C92" t="s">
        <v>0</v>
      </c>
      <c r="D92" t="s">
        <v>116</v>
      </c>
      <c r="E92" t="s">
        <v>142</v>
      </c>
      <c r="F92">
        <v>1000</v>
      </c>
      <c r="G92">
        <v>1089</v>
      </c>
      <c r="H92">
        <v>1888</v>
      </c>
    </row>
    <row r="93" spans="1:8" x14ac:dyDescent="0.25">
      <c r="A93">
        <v>93</v>
      </c>
      <c r="B93" s="7">
        <v>44403</v>
      </c>
      <c r="C93" t="s">
        <v>0</v>
      </c>
      <c r="D93" t="s">
        <v>116</v>
      </c>
      <c r="E93" t="s">
        <v>143</v>
      </c>
      <c r="F93">
        <v>3400</v>
      </c>
      <c r="G93">
        <v>510</v>
      </c>
      <c r="H93">
        <v>3710</v>
      </c>
    </row>
    <row r="94" spans="1:8" x14ac:dyDescent="0.25">
      <c r="A94">
        <v>94</v>
      </c>
      <c r="B94" s="7">
        <v>44402</v>
      </c>
      <c r="C94" t="s">
        <v>0</v>
      </c>
      <c r="D94" t="s">
        <v>116</v>
      </c>
      <c r="E94" t="s">
        <v>144</v>
      </c>
      <c r="F94">
        <v>9000</v>
      </c>
      <c r="G94">
        <v>0</v>
      </c>
      <c r="H94">
        <v>8499</v>
      </c>
    </row>
    <row r="95" spans="1:8" x14ac:dyDescent="0.25">
      <c r="A95">
        <v>95</v>
      </c>
      <c r="B95" s="7">
        <v>44398</v>
      </c>
      <c r="C95" t="s">
        <v>0</v>
      </c>
      <c r="D95" t="s">
        <v>116</v>
      </c>
      <c r="E95" t="s">
        <v>145</v>
      </c>
      <c r="F95">
        <v>3300</v>
      </c>
      <c r="G95">
        <v>756</v>
      </c>
      <c r="H95">
        <v>3854</v>
      </c>
    </row>
    <row r="96" spans="1:8" x14ac:dyDescent="0.25">
      <c r="A96">
        <v>96</v>
      </c>
      <c r="B96" s="7">
        <v>44396</v>
      </c>
      <c r="C96" t="s">
        <v>0</v>
      </c>
      <c r="D96" t="s">
        <v>116</v>
      </c>
      <c r="E96" t="s">
        <v>146</v>
      </c>
      <c r="F96">
        <v>5824</v>
      </c>
      <c r="G96">
        <v>750</v>
      </c>
      <c r="H96">
        <v>6374</v>
      </c>
    </row>
    <row r="97" spans="1:8" x14ac:dyDescent="0.25">
      <c r="A97">
        <v>97</v>
      </c>
      <c r="B97" s="7">
        <v>44391</v>
      </c>
      <c r="C97" t="s">
        <v>0</v>
      </c>
      <c r="D97" t="s">
        <v>116</v>
      </c>
      <c r="E97" t="s">
        <v>147</v>
      </c>
      <c r="F97">
        <v>2900</v>
      </c>
      <c r="G97">
        <v>710</v>
      </c>
      <c r="H97">
        <v>3610</v>
      </c>
    </row>
    <row r="98" spans="1:8" x14ac:dyDescent="0.25">
      <c r="A98">
        <v>98</v>
      </c>
      <c r="B98" s="7">
        <v>44390</v>
      </c>
      <c r="C98" t="s">
        <v>0</v>
      </c>
      <c r="D98" t="s">
        <v>116</v>
      </c>
      <c r="E98" t="s">
        <v>148</v>
      </c>
      <c r="F98">
        <v>4730</v>
      </c>
      <c r="G98">
        <v>750</v>
      </c>
      <c r="H98">
        <v>4980</v>
      </c>
    </row>
    <row r="99" spans="1:8" x14ac:dyDescent="0.25">
      <c r="A99">
        <v>99</v>
      </c>
      <c r="B99" s="7">
        <v>44372</v>
      </c>
      <c r="C99" t="s">
        <v>0</v>
      </c>
      <c r="D99" t="s">
        <v>116</v>
      </c>
      <c r="E99" t="s">
        <v>149</v>
      </c>
      <c r="F99">
        <v>2450</v>
      </c>
      <c r="G99">
        <v>756</v>
      </c>
      <c r="H99">
        <v>3206</v>
      </c>
    </row>
    <row r="100" spans="1:8" x14ac:dyDescent="0.25">
      <c r="A100">
        <v>100</v>
      </c>
      <c r="B100" s="7">
        <v>44368</v>
      </c>
      <c r="C100" t="s">
        <v>0</v>
      </c>
      <c r="D100" t="s">
        <v>116</v>
      </c>
      <c r="E100" t="s">
        <v>150</v>
      </c>
      <c r="F100">
        <v>2100</v>
      </c>
      <c r="G100">
        <v>657</v>
      </c>
      <c r="H100">
        <v>2557</v>
      </c>
    </row>
    <row r="101" spans="1:8" x14ac:dyDescent="0.25">
      <c r="A101">
        <v>101</v>
      </c>
      <c r="B101" s="7">
        <v>44366</v>
      </c>
      <c r="C101" t="s">
        <v>0</v>
      </c>
      <c r="D101" t="s">
        <v>116</v>
      </c>
      <c r="E101" t="s">
        <v>151</v>
      </c>
      <c r="F101">
        <v>2100</v>
      </c>
      <c r="G101">
        <v>350</v>
      </c>
      <c r="H101">
        <v>2450</v>
      </c>
    </row>
    <row r="102" spans="1:8" x14ac:dyDescent="0.25">
      <c r="A102">
        <v>102</v>
      </c>
      <c r="B102" s="7">
        <v>44360</v>
      </c>
      <c r="C102" t="s">
        <v>0</v>
      </c>
      <c r="D102" t="s">
        <v>69</v>
      </c>
      <c r="E102" t="s">
        <v>152</v>
      </c>
      <c r="F102">
        <v>3465</v>
      </c>
      <c r="G102">
        <v>750</v>
      </c>
      <c r="H102">
        <v>4015</v>
      </c>
    </row>
    <row r="103" spans="1:8" x14ac:dyDescent="0.25">
      <c r="A103">
        <v>103</v>
      </c>
      <c r="B103" s="7">
        <v>44356</v>
      </c>
      <c r="C103" t="s">
        <v>2</v>
      </c>
      <c r="D103" t="s">
        <v>122</v>
      </c>
      <c r="E103" t="s">
        <v>153</v>
      </c>
      <c r="F103">
        <v>1300</v>
      </c>
      <c r="G103">
        <v>0</v>
      </c>
      <c r="H103">
        <v>1300</v>
      </c>
    </row>
    <row r="104" spans="1:8" x14ac:dyDescent="0.25">
      <c r="A104">
        <v>104</v>
      </c>
      <c r="B104" s="7">
        <v>44356</v>
      </c>
      <c r="C104" t="s">
        <v>2</v>
      </c>
      <c r="D104" t="s">
        <v>56</v>
      </c>
      <c r="E104" t="s">
        <v>154</v>
      </c>
      <c r="F104">
        <v>1817</v>
      </c>
      <c r="G104">
        <v>0</v>
      </c>
      <c r="H104">
        <v>1817</v>
      </c>
    </row>
    <row r="105" spans="1:8" x14ac:dyDescent="0.25">
      <c r="A105">
        <v>105</v>
      </c>
      <c r="B105" s="7">
        <v>44352</v>
      </c>
      <c r="C105" t="s">
        <v>0</v>
      </c>
      <c r="D105" t="s">
        <v>155</v>
      </c>
      <c r="E105" t="s">
        <v>156</v>
      </c>
      <c r="F105">
        <v>15000</v>
      </c>
      <c r="G105">
        <v>0</v>
      </c>
      <c r="H105">
        <v>14236</v>
      </c>
    </row>
    <row r="106" spans="1:8" x14ac:dyDescent="0.25">
      <c r="A106">
        <v>106</v>
      </c>
      <c r="B106" s="7">
        <v>44339</v>
      </c>
      <c r="C106" t="s">
        <v>0</v>
      </c>
      <c r="D106" t="s">
        <v>116</v>
      </c>
      <c r="E106" t="s">
        <v>157</v>
      </c>
      <c r="F106">
        <v>2300</v>
      </c>
      <c r="G106">
        <v>710</v>
      </c>
      <c r="H106">
        <v>2910</v>
      </c>
    </row>
    <row r="107" spans="1:8" x14ac:dyDescent="0.25">
      <c r="A107">
        <v>107</v>
      </c>
      <c r="B107" s="7">
        <v>44338</v>
      </c>
      <c r="C107" t="s">
        <v>0</v>
      </c>
      <c r="D107" t="s">
        <v>3</v>
      </c>
      <c r="E107" t="s">
        <v>16</v>
      </c>
      <c r="F107">
        <v>15845</v>
      </c>
      <c r="G107">
        <v>750</v>
      </c>
      <c r="H107">
        <v>16495</v>
      </c>
    </row>
    <row r="108" spans="1:8" x14ac:dyDescent="0.25">
      <c r="A108">
        <v>108</v>
      </c>
      <c r="B108" s="7">
        <v>44337</v>
      </c>
      <c r="C108" t="s">
        <v>2</v>
      </c>
      <c r="D108" t="s">
        <v>122</v>
      </c>
      <c r="E108" t="s">
        <v>158</v>
      </c>
      <c r="F108">
        <v>980</v>
      </c>
      <c r="G108">
        <v>0</v>
      </c>
      <c r="H108">
        <v>980</v>
      </c>
    </row>
    <row r="109" spans="1:8" x14ac:dyDescent="0.25">
      <c r="A109">
        <v>109</v>
      </c>
      <c r="B109" s="7">
        <v>44337</v>
      </c>
      <c r="C109" t="s">
        <v>0</v>
      </c>
      <c r="D109" t="s">
        <v>69</v>
      </c>
      <c r="E109" t="s">
        <v>159</v>
      </c>
      <c r="F109">
        <v>5109</v>
      </c>
      <c r="G109">
        <v>1540</v>
      </c>
      <c r="H109">
        <v>6599</v>
      </c>
    </row>
    <row r="110" spans="1:8" x14ac:dyDescent="0.25">
      <c r="A110">
        <v>110</v>
      </c>
      <c r="B110" s="7">
        <v>44333</v>
      </c>
      <c r="C110" t="s">
        <v>0</v>
      </c>
      <c r="D110" t="s">
        <v>116</v>
      </c>
      <c r="E110" t="s">
        <v>151</v>
      </c>
      <c r="F110">
        <v>2000</v>
      </c>
      <c r="G110">
        <v>300</v>
      </c>
      <c r="H110">
        <v>2300</v>
      </c>
    </row>
    <row r="111" spans="1:8" x14ac:dyDescent="0.25">
      <c r="A111">
        <v>111</v>
      </c>
      <c r="B111" s="7">
        <v>44332</v>
      </c>
      <c r="C111" t="s">
        <v>0</v>
      </c>
      <c r="D111" t="s">
        <v>160</v>
      </c>
      <c r="E111" t="s">
        <v>161</v>
      </c>
      <c r="F111">
        <v>3100</v>
      </c>
      <c r="G111">
        <v>0</v>
      </c>
      <c r="H111">
        <v>2900</v>
      </c>
    </row>
    <row r="112" spans="1:8" x14ac:dyDescent="0.25">
      <c r="A112">
        <v>112</v>
      </c>
      <c r="B112" s="7">
        <v>44330</v>
      </c>
      <c r="C112" t="s">
        <v>0</v>
      </c>
      <c r="D112" t="s">
        <v>69</v>
      </c>
      <c r="E112" t="s">
        <v>162</v>
      </c>
      <c r="F112">
        <v>3000</v>
      </c>
      <c r="G112">
        <v>350</v>
      </c>
      <c r="H112">
        <v>3350</v>
      </c>
    </row>
    <row r="113" spans="1:8" x14ac:dyDescent="0.25">
      <c r="A113">
        <v>113</v>
      </c>
      <c r="B113" s="7">
        <v>44316</v>
      </c>
      <c r="C113" t="s">
        <v>0</v>
      </c>
      <c r="D113" t="s">
        <v>81</v>
      </c>
      <c r="E113" t="s">
        <v>163</v>
      </c>
      <c r="F113">
        <v>2500</v>
      </c>
      <c r="G113">
        <v>1200</v>
      </c>
      <c r="H113">
        <v>3700</v>
      </c>
    </row>
    <row r="114" spans="1:8" x14ac:dyDescent="0.25">
      <c r="A114">
        <v>114</v>
      </c>
      <c r="B114" s="7">
        <v>44315</v>
      </c>
      <c r="C114" t="s">
        <v>0</v>
      </c>
      <c r="D114" t="s">
        <v>56</v>
      </c>
      <c r="E114" t="s">
        <v>164</v>
      </c>
      <c r="F114">
        <v>4950</v>
      </c>
      <c r="G114">
        <v>1370</v>
      </c>
      <c r="H114">
        <v>5939</v>
      </c>
    </row>
    <row r="115" spans="1:8" x14ac:dyDescent="0.25">
      <c r="A115">
        <v>115</v>
      </c>
      <c r="B115" s="7">
        <v>44310</v>
      </c>
      <c r="C115" t="s">
        <v>0</v>
      </c>
      <c r="D115" t="s">
        <v>3</v>
      </c>
      <c r="E115" t="s">
        <v>17</v>
      </c>
      <c r="F115">
        <v>1100</v>
      </c>
      <c r="G115">
        <v>1089</v>
      </c>
      <c r="H115">
        <v>739</v>
      </c>
    </row>
    <row r="116" spans="1:8" x14ac:dyDescent="0.25">
      <c r="A116">
        <v>116</v>
      </c>
      <c r="B116" s="7">
        <v>44310</v>
      </c>
      <c r="C116" t="s">
        <v>0</v>
      </c>
      <c r="D116" t="s">
        <v>63</v>
      </c>
      <c r="E116" t="s">
        <v>165</v>
      </c>
      <c r="F116">
        <v>8000</v>
      </c>
      <c r="G116">
        <v>1219</v>
      </c>
      <c r="H116">
        <v>9219</v>
      </c>
    </row>
    <row r="117" spans="1:8" x14ac:dyDescent="0.25">
      <c r="A117">
        <v>117</v>
      </c>
      <c r="B117" s="7">
        <v>44307</v>
      </c>
      <c r="C117" t="s">
        <v>0</v>
      </c>
      <c r="D117" t="s">
        <v>69</v>
      </c>
      <c r="E117" t="s">
        <v>166</v>
      </c>
      <c r="F117">
        <v>9900</v>
      </c>
      <c r="G117">
        <v>750</v>
      </c>
      <c r="H117">
        <v>10550</v>
      </c>
    </row>
    <row r="118" spans="1:8" x14ac:dyDescent="0.25">
      <c r="A118">
        <v>118</v>
      </c>
      <c r="B118" s="7">
        <v>44299</v>
      </c>
      <c r="C118" t="s">
        <v>0</v>
      </c>
      <c r="D118" t="s">
        <v>69</v>
      </c>
      <c r="E118" t="s">
        <v>167</v>
      </c>
      <c r="F118">
        <v>5280</v>
      </c>
      <c r="G118">
        <v>1180</v>
      </c>
      <c r="H118">
        <v>6210</v>
      </c>
    </row>
    <row r="119" spans="1:8" x14ac:dyDescent="0.25">
      <c r="A119">
        <v>119</v>
      </c>
      <c r="B119" s="7">
        <v>44298</v>
      </c>
      <c r="C119" t="s">
        <v>1</v>
      </c>
      <c r="D119" t="s">
        <v>69</v>
      </c>
      <c r="E119" t="s">
        <v>168</v>
      </c>
      <c r="F119">
        <v>2000</v>
      </c>
      <c r="G119">
        <v>220</v>
      </c>
      <c r="H119">
        <v>2220</v>
      </c>
    </row>
    <row r="120" spans="1:8" x14ac:dyDescent="0.25">
      <c r="A120">
        <v>120</v>
      </c>
      <c r="B120" s="7">
        <v>44292</v>
      </c>
      <c r="C120" t="s">
        <v>0</v>
      </c>
      <c r="D120" t="s">
        <v>69</v>
      </c>
      <c r="E120" t="s">
        <v>169</v>
      </c>
      <c r="F120">
        <v>4000</v>
      </c>
      <c r="G120">
        <v>1111</v>
      </c>
      <c r="H120">
        <v>5111</v>
      </c>
    </row>
    <row r="121" spans="1:8" x14ac:dyDescent="0.25">
      <c r="A121">
        <v>121</v>
      </c>
      <c r="B121" s="7">
        <v>44292</v>
      </c>
      <c r="C121" t="s">
        <v>0</v>
      </c>
      <c r="D121" t="s">
        <v>56</v>
      </c>
      <c r="E121" t="s">
        <v>170</v>
      </c>
      <c r="F121">
        <v>4200</v>
      </c>
      <c r="G121">
        <v>1086</v>
      </c>
      <c r="H121">
        <v>5286</v>
      </c>
    </row>
    <row r="122" spans="1:8" x14ac:dyDescent="0.25">
      <c r="A122">
        <v>122</v>
      </c>
      <c r="B122" s="7">
        <v>44291</v>
      </c>
      <c r="C122" t="s">
        <v>0</v>
      </c>
      <c r="D122" t="s">
        <v>69</v>
      </c>
      <c r="E122" t="s">
        <v>171</v>
      </c>
      <c r="F122">
        <v>9000</v>
      </c>
      <c r="G122">
        <v>1000</v>
      </c>
      <c r="H122">
        <v>9800</v>
      </c>
    </row>
    <row r="123" spans="1:8" x14ac:dyDescent="0.25">
      <c r="A123">
        <v>123</v>
      </c>
      <c r="B123" s="7">
        <v>44291</v>
      </c>
      <c r="C123" t="s">
        <v>14</v>
      </c>
      <c r="D123" t="s">
        <v>69</v>
      </c>
      <c r="E123" t="s">
        <v>172</v>
      </c>
      <c r="F123">
        <v>2800</v>
      </c>
      <c r="G123">
        <v>0</v>
      </c>
      <c r="H123">
        <v>766</v>
      </c>
    </row>
    <row r="124" spans="1:8" x14ac:dyDescent="0.25">
      <c r="A124">
        <v>124</v>
      </c>
      <c r="B124" s="7">
        <v>44283</v>
      </c>
      <c r="C124" t="s">
        <v>0</v>
      </c>
      <c r="D124" t="s">
        <v>69</v>
      </c>
      <c r="E124" t="s">
        <v>173</v>
      </c>
      <c r="F124">
        <v>12500</v>
      </c>
      <c r="G124">
        <v>1500</v>
      </c>
      <c r="H124">
        <v>10660</v>
      </c>
    </row>
    <row r="125" spans="1:8" x14ac:dyDescent="0.25">
      <c r="A125">
        <v>125</v>
      </c>
      <c r="B125" s="7">
        <v>44275</v>
      </c>
      <c r="C125" t="s">
        <v>0</v>
      </c>
      <c r="D125" t="s">
        <v>56</v>
      </c>
      <c r="E125" t="s">
        <v>174</v>
      </c>
      <c r="F125">
        <v>1500</v>
      </c>
      <c r="G125">
        <v>0</v>
      </c>
      <c r="H125">
        <v>1500</v>
      </c>
    </row>
    <row r="126" spans="1:8" x14ac:dyDescent="0.25">
      <c r="A126">
        <v>126</v>
      </c>
      <c r="B126" s="7">
        <v>44272</v>
      </c>
      <c r="C126" t="s">
        <v>14</v>
      </c>
      <c r="D126" t="s">
        <v>69</v>
      </c>
      <c r="E126" t="s">
        <v>175</v>
      </c>
      <c r="F126">
        <v>6900</v>
      </c>
      <c r="G126">
        <v>0</v>
      </c>
      <c r="H126">
        <v>6892</v>
      </c>
    </row>
    <row r="127" spans="1:8" x14ac:dyDescent="0.25">
      <c r="A127">
        <v>127</v>
      </c>
      <c r="B127" s="7">
        <v>44272</v>
      </c>
      <c r="C127" t="s">
        <v>0</v>
      </c>
      <c r="D127" t="s">
        <v>69</v>
      </c>
      <c r="E127" t="s">
        <v>176</v>
      </c>
      <c r="F127">
        <v>3300</v>
      </c>
      <c r="G127">
        <v>1413</v>
      </c>
      <c r="H127">
        <v>4413</v>
      </c>
    </row>
    <row r="128" spans="1:8" x14ac:dyDescent="0.25">
      <c r="A128">
        <v>128</v>
      </c>
      <c r="B128" s="7">
        <v>44262</v>
      </c>
      <c r="C128" t="s">
        <v>0</v>
      </c>
      <c r="D128" t="s">
        <v>69</v>
      </c>
      <c r="E128" t="s">
        <v>177</v>
      </c>
      <c r="F128">
        <v>8500</v>
      </c>
      <c r="G128">
        <v>990</v>
      </c>
      <c r="H128">
        <v>9490</v>
      </c>
    </row>
    <row r="129" spans="1:8" x14ac:dyDescent="0.25">
      <c r="A129">
        <v>129</v>
      </c>
      <c r="B129" s="7">
        <v>44260</v>
      </c>
      <c r="C129" t="s">
        <v>0</v>
      </c>
      <c r="D129" t="s">
        <v>69</v>
      </c>
      <c r="E129" t="s">
        <v>178</v>
      </c>
      <c r="F129">
        <v>8250</v>
      </c>
      <c r="G129">
        <v>390</v>
      </c>
      <c r="H129">
        <v>8639</v>
      </c>
    </row>
    <row r="130" spans="1:8" x14ac:dyDescent="0.25">
      <c r="A130">
        <v>130</v>
      </c>
      <c r="B130" s="7">
        <v>44256</v>
      </c>
      <c r="C130" t="s">
        <v>14</v>
      </c>
      <c r="D130" t="s">
        <v>69</v>
      </c>
      <c r="E130" t="s">
        <v>179</v>
      </c>
      <c r="F130">
        <v>1700</v>
      </c>
      <c r="G130">
        <v>0</v>
      </c>
      <c r="H130">
        <v>1159</v>
      </c>
    </row>
    <row r="131" spans="1:8" x14ac:dyDescent="0.25">
      <c r="A131">
        <v>131</v>
      </c>
      <c r="B131" s="7">
        <v>44249</v>
      </c>
      <c r="C131" t="s">
        <v>14</v>
      </c>
      <c r="D131" t="s">
        <v>69</v>
      </c>
      <c r="E131" t="s">
        <v>180</v>
      </c>
      <c r="F131">
        <v>8200</v>
      </c>
      <c r="G131">
        <v>0</v>
      </c>
      <c r="H131">
        <v>8200</v>
      </c>
    </row>
    <row r="132" spans="1:8" x14ac:dyDescent="0.25">
      <c r="A132">
        <v>132</v>
      </c>
      <c r="B132" s="7">
        <v>44243</v>
      </c>
      <c r="C132" t="s">
        <v>0</v>
      </c>
      <c r="D132" t="s">
        <v>69</v>
      </c>
      <c r="E132" t="s">
        <v>181</v>
      </c>
      <c r="F132">
        <v>8250</v>
      </c>
      <c r="G132">
        <v>810</v>
      </c>
      <c r="H132">
        <v>8860</v>
      </c>
    </row>
    <row r="133" spans="1:8" x14ac:dyDescent="0.25">
      <c r="A133">
        <v>133</v>
      </c>
      <c r="B133" s="7">
        <v>44238</v>
      </c>
      <c r="C133" t="s">
        <v>0</v>
      </c>
      <c r="D133" t="s">
        <v>69</v>
      </c>
      <c r="E133" t="s">
        <v>182</v>
      </c>
      <c r="F133">
        <v>3501</v>
      </c>
      <c r="G133">
        <v>350</v>
      </c>
      <c r="H133">
        <v>3651</v>
      </c>
    </row>
    <row r="134" spans="1:8" x14ac:dyDescent="0.25">
      <c r="A134">
        <v>134</v>
      </c>
      <c r="B134" s="7">
        <v>44238</v>
      </c>
      <c r="C134" t="s">
        <v>0</v>
      </c>
      <c r="D134" t="s">
        <v>69</v>
      </c>
      <c r="E134" t="s">
        <v>183</v>
      </c>
      <c r="F134">
        <v>2200</v>
      </c>
      <c r="G134">
        <v>750</v>
      </c>
      <c r="H134">
        <v>2750</v>
      </c>
    </row>
    <row r="135" spans="1:8" x14ac:dyDescent="0.25">
      <c r="A135">
        <v>135</v>
      </c>
      <c r="B135" s="7">
        <v>44238</v>
      </c>
      <c r="C135" t="s">
        <v>0</v>
      </c>
      <c r="D135" t="s">
        <v>63</v>
      </c>
      <c r="E135" t="s">
        <v>184</v>
      </c>
      <c r="F135">
        <v>3500</v>
      </c>
      <c r="G135">
        <v>1050</v>
      </c>
      <c r="H135">
        <v>4350</v>
      </c>
    </row>
    <row r="136" spans="1:8" x14ac:dyDescent="0.25">
      <c r="A136">
        <v>136</v>
      </c>
      <c r="B136" s="7">
        <v>44236</v>
      </c>
      <c r="C136" t="s">
        <v>1</v>
      </c>
      <c r="D136" t="s">
        <v>69</v>
      </c>
      <c r="E136" t="s">
        <v>185</v>
      </c>
      <c r="F136">
        <v>6700</v>
      </c>
      <c r="G136">
        <v>0</v>
      </c>
      <c r="H136">
        <v>6700</v>
      </c>
    </row>
    <row r="137" spans="1:8" x14ac:dyDescent="0.25">
      <c r="A137">
        <v>137</v>
      </c>
      <c r="B137" s="7">
        <v>44236</v>
      </c>
      <c r="C137" t="s">
        <v>1</v>
      </c>
      <c r="D137" t="s">
        <v>69</v>
      </c>
      <c r="E137" t="s">
        <v>186</v>
      </c>
      <c r="F137">
        <v>3150</v>
      </c>
      <c r="G137">
        <v>220</v>
      </c>
      <c r="H137">
        <v>3370</v>
      </c>
    </row>
    <row r="138" spans="1:8" x14ac:dyDescent="0.25">
      <c r="A138">
        <v>138</v>
      </c>
      <c r="B138" s="7">
        <v>44236</v>
      </c>
      <c r="C138" t="s">
        <v>0</v>
      </c>
      <c r="D138" t="s">
        <v>69</v>
      </c>
      <c r="E138" t="s">
        <v>187</v>
      </c>
      <c r="F138">
        <v>10500</v>
      </c>
      <c r="G138">
        <v>700</v>
      </c>
      <c r="H138">
        <v>10900</v>
      </c>
    </row>
    <row r="139" spans="1:8" x14ac:dyDescent="0.25">
      <c r="A139">
        <v>139</v>
      </c>
      <c r="B139" s="7">
        <v>44225</v>
      </c>
      <c r="C139" t="s">
        <v>0</v>
      </c>
      <c r="D139" t="s">
        <v>69</v>
      </c>
      <c r="E139" t="s">
        <v>188</v>
      </c>
      <c r="F139">
        <v>2170</v>
      </c>
      <c r="G139">
        <v>756</v>
      </c>
      <c r="H139">
        <v>2926</v>
      </c>
    </row>
    <row r="140" spans="1:8" x14ac:dyDescent="0.25">
      <c r="A140">
        <v>140</v>
      </c>
      <c r="B140" s="7">
        <v>44224</v>
      </c>
      <c r="C140" t="s">
        <v>0</v>
      </c>
      <c r="D140" t="s">
        <v>69</v>
      </c>
      <c r="E140" t="s">
        <v>189</v>
      </c>
      <c r="F140">
        <v>11500</v>
      </c>
      <c r="G140">
        <v>700</v>
      </c>
      <c r="H140">
        <v>11824</v>
      </c>
    </row>
    <row r="141" spans="1:8" x14ac:dyDescent="0.25">
      <c r="A141">
        <v>141</v>
      </c>
      <c r="B141" s="7">
        <v>44214</v>
      </c>
      <c r="C141" t="s">
        <v>2</v>
      </c>
      <c r="D141" t="s">
        <v>190</v>
      </c>
      <c r="E141" t="s">
        <v>191</v>
      </c>
      <c r="F141">
        <v>3291</v>
      </c>
      <c r="G141">
        <v>0</v>
      </c>
      <c r="H141">
        <v>3291</v>
      </c>
    </row>
    <row r="142" spans="1:8" x14ac:dyDescent="0.25">
      <c r="A142">
        <v>142</v>
      </c>
      <c r="B142" s="7">
        <v>44184</v>
      </c>
      <c r="C142" t="s">
        <v>0</v>
      </c>
      <c r="D142" t="s">
        <v>69</v>
      </c>
      <c r="E142" t="s">
        <v>192</v>
      </c>
      <c r="F142">
        <v>4980</v>
      </c>
      <c r="G142">
        <v>510</v>
      </c>
      <c r="H142">
        <v>5490</v>
      </c>
    </row>
  </sheetData>
  <sortState xmlns:xlrd2="http://schemas.microsoft.com/office/spreadsheetml/2017/richdata2" ref="A3:H142">
    <sortCondition ref="A2"/>
  </sortState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5009C-1FF2-4046-AF8C-701EA132CC54}">
  <sheetPr codeName="Sheet23"/>
  <dimension ref="A1:C21"/>
  <sheetViews>
    <sheetView workbookViewId="0"/>
  </sheetViews>
  <sheetFormatPr defaultRowHeight="15.75" x14ac:dyDescent="0.25"/>
  <cols>
    <col min="1" max="16384" width="8.88671875" style="1"/>
  </cols>
  <sheetData>
    <row r="1" spans="1:3" x14ac:dyDescent="0.25">
      <c r="A1" s="1" t="s">
        <v>19</v>
      </c>
      <c r="B1" s="1" t="s">
        <v>18</v>
      </c>
      <c r="C1" s="1" t="s">
        <v>20</v>
      </c>
    </row>
    <row r="2" spans="1:3" x14ac:dyDescent="0.25">
      <c r="A2" s="1" t="s">
        <v>69</v>
      </c>
      <c r="B2" s="1" t="s">
        <v>0</v>
      </c>
      <c r="C2" s="1" t="s">
        <v>70</v>
      </c>
    </row>
    <row r="3" spans="1:3" x14ac:dyDescent="0.25">
      <c r="A3" s="1" t="s">
        <v>69</v>
      </c>
      <c r="B3" s="1" t="s">
        <v>14</v>
      </c>
      <c r="C3" s="1" t="s">
        <v>76</v>
      </c>
    </row>
    <row r="4" spans="1:3" x14ac:dyDescent="0.25">
      <c r="A4" s="1" t="s">
        <v>69</v>
      </c>
      <c r="B4" s="1" t="s">
        <v>14</v>
      </c>
      <c r="C4" s="1" t="s">
        <v>86</v>
      </c>
    </row>
    <row r="5" spans="1:3" x14ac:dyDescent="0.25">
      <c r="A5" s="1" t="s">
        <v>69</v>
      </c>
      <c r="B5" s="1" t="s">
        <v>0</v>
      </c>
      <c r="C5" s="1" t="s">
        <v>87</v>
      </c>
    </row>
    <row r="6" spans="1:3" x14ac:dyDescent="0.25">
      <c r="A6" s="1" t="s">
        <v>69</v>
      </c>
      <c r="B6" s="1" t="s">
        <v>0</v>
      </c>
      <c r="C6" s="1" t="s">
        <v>96</v>
      </c>
    </row>
    <row r="7" spans="1:3" x14ac:dyDescent="0.25">
      <c r="A7" s="1" t="s">
        <v>69</v>
      </c>
      <c r="B7" s="1" t="s">
        <v>0</v>
      </c>
      <c r="C7" s="1" t="s">
        <v>95</v>
      </c>
    </row>
    <row r="8" spans="1:3" x14ac:dyDescent="0.25">
      <c r="A8" s="1" t="s">
        <v>69</v>
      </c>
      <c r="B8" s="1" t="s">
        <v>0</v>
      </c>
      <c r="C8" s="1" t="s">
        <v>103</v>
      </c>
    </row>
    <row r="9" spans="1:3" x14ac:dyDescent="0.25">
      <c r="A9" s="1" t="s">
        <v>69</v>
      </c>
      <c r="B9" s="1" t="s">
        <v>14</v>
      </c>
      <c r="C9" s="1" t="s">
        <v>105</v>
      </c>
    </row>
    <row r="10" spans="1:3" x14ac:dyDescent="0.25">
      <c r="A10" s="1" t="s">
        <v>69</v>
      </c>
      <c r="B10" s="1" t="s">
        <v>0</v>
      </c>
      <c r="C10" s="1" t="s">
        <v>112</v>
      </c>
    </row>
    <row r="11" spans="1:3" x14ac:dyDescent="0.25">
      <c r="A11" s="1" t="s">
        <v>69</v>
      </c>
      <c r="B11" s="1" t="s">
        <v>0</v>
      </c>
      <c r="C11" s="1" t="s">
        <v>115</v>
      </c>
    </row>
    <row r="12" spans="1:3" x14ac:dyDescent="0.25">
      <c r="A12" s="1" t="s">
        <v>69</v>
      </c>
      <c r="B12" s="1" t="s">
        <v>0</v>
      </c>
      <c r="C12" s="1" t="s">
        <v>117</v>
      </c>
    </row>
    <row r="13" spans="1:3" x14ac:dyDescent="0.25">
      <c r="A13" s="1" t="s">
        <v>69</v>
      </c>
      <c r="B13" s="1" t="s">
        <v>0</v>
      </c>
      <c r="C13" s="1" t="s">
        <v>140</v>
      </c>
    </row>
    <row r="14" spans="1:3" x14ac:dyDescent="0.25">
      <c r="A14" s="1" t="s">
        <v>69</v>
      </c>
      <c r="B14" s="1" t="s">
        <v>0</v>
      </c>
      <c r="C14" s="1" t="s">
        <v>181</v>
      </c>
    </row>
    <row r="15" spans="1:3" x14ac:dyDescent="0.25">
      <c r="A15" s="1" t="s">
        <v>69</v>
      </c>
      <c r="B15" s="1" t="s">
        <v>0</v>
      </c>
      <c r="C15" s="1" t="s">
        <v>182</v>
      </c>
    </row>
    <row r="16" spans="1:3" x14ac:dyDescent="0.25">
      <c r="A16" s="1" t="s">
        <v>69</v>
      </c>
      <c r="B16" s="1" t="s">
        <v>0</v>
      </c>
      <c r="C16" s="1" t="s">
        <v>183</v>
      </c>
    </row>
    <row r="17" spans="1:3" x14ac:dyDescent="0.25">
      <c r="A17" s="1" t="s">
        <v>69</v>
      </c>
      <c r="B17" s="1" t="s">
        <v>1</v>
      </c>
      <c r="C17" s="1" t="s">
        <v>186</v>
      </c>
    </row>
    <row r="18" spans="1:3" x14ac:dyDescent="0.25">
      <c r="A18" s="1" t="s">
        <v>69</v>
      </c>
      <c r="B18" s="1" t="s">
        <v>0</v>
      </c>
      <c r="C18" s="1" t="s">
        <v>187</v>
      </c>
    </row>
    <row r="19" spans="1:3" x14ac:dyDescent="0.25">
      <c r="A19" s="1" t="s">
        <v>69</v>
      </c>
      <c r="B19" s="1" t="s">
        <v>1</v>
      </c>
      <c r="C19" s="1" t="s">
        <v>185</v>
      </c>
    </row>
    <row r="20" spans="1:3" x14ac:dyDescent="0.25">
      <c r="A20" s="1" t="s">
        <v>69</v>
      </c>
      <c r="B20" s="1" t="s">
        <v>0</v>
      </c>
      <c r="C20" s="1" t="s">
        <v>188</v>
      </c>
    </row>
    <row r="21" spans="1:3" x14ac:dyDescent="0.25">
      <c r="A21" s="1" t="s">
        <v>69</v>
      </c>
      <c r="B21" s="1" t="s">
        <v>0</v>
      </c>
      <c r="C21" s="1" t="s">
        <v>189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A7ABA8E-04E9-4A7F-A016-123ADC44C2E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10</vt:i4>
      </vt:variant>
    </vt:vector>
  </HeadingPairs>
  <TitlesOfParts>
    <vt:vector size="16" baseType="lpstr">
      <vt:lpstr>S10_検索画面</vt:lpstr>
      <vt:lpstr>S20_設定</vt:lpstr>
      <vt:lpstr>S21_マスタ</vt:lpstr>
      <vt:lpstr>S30_元データ</vt:lpstr>
      <vt:lpstr>S40_結果画面</vt:lpstr>
      <vt:lpstr>データ1</vt:lpstr>
      <vt:lpstr>DATE_FROM</vt:lpstr>
      <vt:lpstr>DATE_TO</vt:lpstr>
      <vt:lpstr>HINMEI</vt:lpstr>
      <vt:lpstr>KONYUSAKI</vt:lpstr>
      <vt:lpstr>KonyusakiMst</vt:lpstr>
      <vt:lpstr>SQL検索文</vt:lpstr>
      <vt:lpstr>SQL検索文2</vt:lpstr>
      <vt:lpstr>SYUBETSU</vt:lpstr>
      <vt:lpstr>SYUBETSU2</vt:lpstr>
      <vt:lpstr>データ1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PC</cp:lastModifiedBy>
  <dcterms:created xsi:type="dcterms:W3CDTF">2023-02-17T10:28:52Z</dcterms:created>
  <dcterms:modified xsi:type="dcterms:W3CDTF">2023-03-13T15:46:10Z</dcterms:modified>
</cp:coreProperties>
</file>